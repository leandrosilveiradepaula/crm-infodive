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cimar\Documents\GRUPO O.V.D\2025\"/>
    </mc:Choice>
  </mc:AlternateContent>
  <xr:revisionPtr revIDLastSave="0" documentId="13_ncr:1_{5BA456D6-96F3-47E3-9C23-DF8A106B91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dido HW" sheetId="1" r:id="rId1"/>
    <sheet name="Print PAC via Planilha Variável" sheetId="4" r:id="rId2"/>
    <sheet name="Cadastros Ingram" sheetId="3" r:id="rId3"/>
  </sheets>
  <calcPr calcId="191029"/>
</workbook>
</file>

<file path=xl/calcChain.xml><?xml version="1.0" encoding="utf-8"?>
<calcChain xmlns="http://schemas.openxmlformats.org/spreadsheetml/2006/main">
  <c r="M40" i="1" l="1"/>
  <c r="M39" i="1"/>
  <c r="E39" i="1"/>
  <c r="E40" i="1"/>
  <c r="E41" i="1"/>
  <c r="E42" i="1"/>
  <c r="E43" i="1"/>
  <c r="E44" i="1"/>
  <c r="E45" i="1"/>
  <c r="E46" i="1"/>
  <c r="G40" i="1"/>
  <c r="G41" i="1"/>
  <c r="G42" i="1"/>
  <c r="G43" i="1"/>
  <c r="G44" i="1"/>
  <c r="G45" i="1"/>
  <c r="G46" i="1"/>
  <c r="G39" i="1" l="1"/>
  <c r="G47" i="1" l="1"/>
  <c r="E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Luciano Borba</author>
    <author>Felipe Vanni</author>
  </authors>
  <commentList>
    <comment ref="C20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O contato citado aqui deverá ser a pessoa que abrirá o chamado técnico pela empresa,  caso seja necessário.</t>
        </r>
      </text>
    </comment>
    <comment ref="C2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O contato citado aqui deverá ser a pessoa que abrirá o chamado técnico pela empresa,  caso seja necessário.</t>
        </r>
      </text>
    </comment>
    <comment ref="C22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Favor inserir endereço de e-mail para recebimento da licença.
</t>
        </r>
        <r>
          <rPr>
            <b/>
            <sz val="8"/>
            <color indexed="60"/>
            <rFont val="Tahoma"/>
            <family val="2"/>
          </rPr>
          <t>Este campo é obrigatório.</t>
        </r>
      </text>
    </comment>
  </commentList>
</comments>
</file>

<file path=xl/sharedStrings.xml><?xml version="1.0" encoding="utf-8"?>
<sst xmlns="http://schemas.openxmlformats.org/spreadsheetml/2006/main" count="57" uniqueCount="53">
  <si>
    <t>Endereço:</t>
  </si>
  <si>
    <t>Bairro:</t>
  </si>
  <si>
    <t>Cidade:</t>
  </si>
  <si>
    <t>Contato:</t>
  </si>
  <si>
    <t>Telefone:</t>
  </si>
  <si>
    <t>E-mail:</t>
  </si>
  <si>
    <t>Condição de Pagamento:</t>
  </si>
  <si>
    <t>Faturamento:</t>
  </si>
  <si>
    <t>Revenda</t>
  </si>
  <si>
    <t>Usuário Final</t>
  </si>
  <si>
    <t>Qtd</t>
  </si>
  <si>
    <t>Razão Social:</t>
  </si>
  <si>
    <t>Nº CNPJ:</t>
  </si>
  <si>
    <t>Nº IE:</t>
  </si>
  <si>
    <t>Formulário de Pedido Ingram Micro=&gt; HW</t>
  </si>
  <si>
    <t>Condição de faturamento via Ingram</t>
  </si>
  <si>
    <r>
      <t xml:space="preserve">Dados da </t>
    </r>
    <r>
      <rPr>
        <b/>
        <sz val="11"/>
        <color indexed="51"/>
        <rFont val="Calibri"/>
        <family val="2"/>
        <scheme val="minor"/>
      </rPr>
      <t>Revenda</t>
    </r>
  </si>
  <si>
    <r>
      <t xml:space="preserve">Dados do </t>
    </r>
    <r>
      <rPr>
        <b/>
        <sz val="11"/>
        <color indexed="51"/>
        <rFont val="Calibri"/>
        <family val="2"/>
        <scheme val="minor"/>
      </rPr>
      <t>Usuário Final</t>
    </r>
  </si>
  <si>
    <t>Nº Oportunidade:</t>
  </si>
  <si>
    <t>Número(s) da proposta(s) Ingram ou BID(s)</t>
  </si>
  <si>
    <t xml:space="preserve">Cadastros Ingram </t>
  </si>
  <si>
    <t>Abaixo nossos CNPJ's utilizados em nossos faturamentos. Favor verificar qual(is)deste(s) está(ão) sendo utilizado(s) no momento do envio da nossa proposta e verificar se o cliente já possui nosso cadastro.</t>
  </si>
  <si>
    <t>Pedido</t>
  </si>
  <si>
    <t>Valores Revenda</t>
  </si>
  <si>
    <t>Valores Fat. Direto</t>
  </si>
  <si>
    <t>Totais</t>
  </si>
  <si>
    <t>PN</t>
  </si>
  <si>
    <t>Campo para observações/orientações(Nº OC, Agendamento/Entrega, Data de corte, etc)</t>
  </si>
  <si>
    <t xml:space="preserve">R$ Unitário </t>
  </si>
  <si>
    <t xml:space="preserve">R$ Total </t>
  </si>
  <si>
    <t>Tipo | Modelo | Serial number do Equipamento (preencher somente em caso de M E S )</t>
  </si>
  <si>
    <t>Infodive Rep e Serviços Ltda</t>
  </si>
  <si>
    <t>05.613.186/0001-78</t>
  </si>
  <si>
    <t>X</t>
  </si>
  <si>
    <r>
      <t xml:space="preserve">marcar com um </t>
    </r>
    <r>
      <rPr>
        <b/>
        <sz val="11"/>
        <color rgb="FFFF0000"/>
        <rFont val="Calibri"/>
        <family val="2"/>
        <scheme val="minor"/>
      </rPr>
      <t>x</t>
    </r>
    <r>
      <rPr>
        <sz val="11"/>
        <rFont val="Calibri"/>
        <family val="2"/>
        <scheme val="minor"/>
      </rPr>
      <t xml:space="preserve"> sua opção de faturamento</t>
    </r>
  </si>
  <si>
    <t>O. V. D. IMPORTADORA E DISTRIBUIDORA LTDA</t>
  </si>
  <si>
    <t>76.635.689/0001-92</t>
  </si>
  <si>
    <t>10106911-72</t>
  </si>
  <si>
    <t>AV JUSCELINO KUBITSCHEK DE OLIVEIRA, 3900</t>
  </si>
  <si>
    <t>CIDADE INDUSTRIAL</t>
  </si>
  <si>
    <t>CURITIBA</t>
  </si>
  <si>
    <t>Estado: PR</t>
  </si>
  <si>
    <t>Artur Dietrich</t>
  </si>
  <si>
    <t>artur@ovd.com.br</t>
  </si>
  <si>
    <t>41-33162644</t>
  </si>
  <si>
    <t>CEP: 81260-000</t>
  </si>
  <si>
    <t xml:space="preserve">Enviar nota fiscal e arquivo XML para: nfe@ovd.com.br; altevir.cardoso@ovd.com.br; contratosti@ovd.com.br   
Cc: dieverson.oliveira@ovd.com.br; alex.lima@ovd.com.br; fernando.cassol@ovd.com.br    </t>
  </si>
  <si>
    <t>30 DDF</t>
  </si>
  <si>
    <t>Informar corpo NF: ORDEM COMPRA:  786628</t>
  </si>
  <si>
    <t>006gR000001A9awQAC</t>
  </si>
  <si>
    <t>3182875/1</t>
  </si>
  <si>
    <t>468024H</t>
  </si>
  <si>
    <t>E-Pricer: 12431821 - EC 36M 24x7x24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</si>
</sst>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##"/>
    <numFmt numFmtId="165" formatCode="_-[$R$-416]* #,##0.00_-;\-[$R$-416]* #,##0.00_-;_-[$R$-416]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b/>
      <sz val="8"/>
      <color indexed="60"/>
      <name val="Tahoma"/>
      <family val="2"/>
    </font>
    <font>
      <b/>
      <sz val="11"/>
      <name val="Calibri"/>
      <family val="2"/>
      <scheme val="minor"/>
    </font>
    <font>
      <b/>
      <sz val="11"/>
      <color indexed="43"/>
      <name val="Calibri"/>
      <family val="2"/>
      <scheme val="minor"/>
    </font>
    <font>
      <b/>
      <sz val="11"/>
      <color indexed="51"/>
      <name val="Calibri"/>
      <family val="2"/>
      <scheme val="minor"/>
    </font>
    <font>
      <sz val="11"/>
      <color indexed="62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0" fillId="3" borderId="7" xfId="0" applyFill="1" applyBorder="1" applyAlignment="1">
      <alignment horizontal="right"/>
    </xf>
    <xf numFmtId="0" fontId="0" fillId="3" borderId="9" xfId="0" applyFill="1" applyBorder="1"/>
    <xf numFmtId="0" fontId="0" fillId="3" borderId="10" xfId="0" applyFill="1" applyBorder="1"/>
    <xf numFmtId="0" fontId="0" fillId="3" borderId="9" xfId="0" applyFill="1" applyBorder="1" applyAlignment="1">
      <alignment horizontal="left"/>
    </xf>
    <xf numFmtId="0" fontId="0" fillId="3" borderId="12" xfId="0" applyFill="1" applyBorder="1" applyAlignment="1">
      <alignment horizontal="right"/>
    </xf>
    <xf numFmtId="0" fontId="0" fillId="3" borderId="18" xfId="0" applyFill="1" applyBorder="1"/>
    <xf numFmtId="164" fontId="9" fillId="3" borderId="10" xfId="0" applyNumberFormat="1" applyFont="1" applyFill="1" applyBorder="1" applyAlignment="1" applyProtection="1">
      <alignment horizontal="left"/>
      <protection locked="0"/>
    </xf>
    <xf numFmtId="0" fontId="10" fillId="3" borderId="20" xfId="0" applyFont="1" applyFill="1" applyBorder="1" applyAlignment="1" applyProtection="1">
      <alignment horizontal="center"/>
      <protection locked="0"/>
    </xf>
    <xf numFmtId="0" fontId="6" fillId="3" borderId="0" xfId="0" applyFont="1" applyFill="1"/>
    <xf numFmtId="0" fontId="6" fillId="3" borderId="19" xfId="0" applyFont="1" applyFill="1" applyBorder="1"/>
    <xf numFmtId="0" fontId="14" fillId="5" borderId="20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vertical="center" wrapText="1"/>
    </xf>
    <xf numFmtId="0" fontId="17" fillId="6" borderId="21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 wrapText="1"/>
    </xf>
    <xf numFmtId="0" fontId="18" fillId="0" borderId="0" xfId="0" applyFont="1" applyAlignment="1" applyProtection="1">
      <alignment vertical="center"/>
      <protection hidden="1"/>
    </xf>
    <xf numFmtId="0" fontId="0" fillId="5" borderId="21" xfId="0" applyFill="1" applyBorder="1" applyAlignment="1">
      <alignment horizontal="center"/>
    </xf>
    <xf numFmtId="165" fontId="2" fillId="5" borderId="21" xfId="1" applyNumberFormat="1" applyFont="1" applyFill="1" applyBorder="1"/>
    <xf numFmtId="165" fontId="2" fillId="5" borderId="21" xfId="0" applyNumberFormat="1" applyFont="1" applyFill="1" applyBorder="1"/>
    <xf numFmtId="44" fontId="0" fillId="8" borderId="21" xfId="1" applyFont="1" applyFill="1" applyBorder="1"/>
    <xf numFmtId="44" fontId="0" fillId="8" borderId="21" xfId="0" applyNumberFormat="1" applyFill="1" applyBorder="1"/>
    <xf numFmtId="44" fontId="2" fillId="5" borderId="21" xfId="1" applyFont="1" applyFill="1" applyBorder="1"/>
    <xf numFmtId="44" fontId="2" fillId="8" borderId="11" xfId="0" applyNumberFormat="1" applyFont="1" applyFill="1" applyBorder="1"/>
    <xf numFmtId="44" fontId="2" fillId="0" borderId="9" xfId="0" applyNumberFormat="1" applyFont="1" applyBorder="1"/>
    <xf numFmtId="0" fontId="19" fillId="5" borderId="21" xfId="0" applyFont="1" applyFill="1" applyBorder="1" applyAlignment="1">
      <alignment horizontal="center"/>
    </xf>
    <xf numFmtId="7" fontId="2" fillId="5" borderId="21" xfId="1" applyNumberFormat="1" applyFont="1" applyFill="1" applyBorder="1" applyAlignment="1">
      <alignment horizontal="right"/>
    </xf>
    <xf numFmtId="0" fontId="19" fillId="5" borderId="21" xfId="0" applyFont="1" applyFill="1" applyBorder="1" applyAlignment="1">
      <alignment horizontal="left"/>
    </xf>
    <xf numFmtId="4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 vertical="center" wrapText="1"/>
    </xf>
    <xf numFmtId="0" fontId="13" fillId="5" borderId="27" xfId="0" applyFont="1" applyFill="1" applyBorder="1" applyAlignment="1" applyProtection="1">
      <alignment horizontal="center" vertical="center" wrapText="1"/>
      <protection locked="0"/>
    </xf>
    <xf numFmtId="0" fontId="13" fillId="5" borderId="5" xfId="0" applyFont="1" applyFill="1" applyBorder="1" applyAlignment="1" applyProtection="1">
      <alignment horizontal="center" vertical="center" wrapText="1"/>
      <protection locked="0"/>
    </xf>
    <xf numFmtId="0" fontId="13" fillId="5" borderId="28" xfId="0" applyFont="1" applyFill="1" applyBorder="1" applyAlignment="1" applyProtection="1">
      <alignment horizontal="center" vertical="center" wrapText="1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3" borderId="8" xfId="0" applyFont="1" applyFill="1" applyBorder="1" applyAlignment="1" applyProtection="1">
      <alignment horizontal="left"/>
      <protection locked="0"/>
    </xf>
    <xf numFmtId="0" fontId="9" fillId="3" borderId="10" xfId="0" applyFont="1" applyFill="1" applyBorder="1" applyAlignment="1" applyProtection="1">
      <alignment horizontal="left"/>
      <protection locked="0"/>
    </xf>
    <xf numFmtId="1" fontId="9" fillId="3" borderId="8" xfId="0" applyNumberFormat="1" applyFont="1" applyFill="1" applyBorder="1" applyAlignment="1" applyProtection="1">
      <alignment horizontal="left"/>
      <protection locked="0"/>
    </xf>
    <xf numFmtId="1" fontId="9" fillId="3" borderId="10" xfId="0" applyNumberFormat="1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9" xfId="0" applyFill="1" applyBorder="1" applyAlignment="1">
      <alignment horizontal="center"/>
    </xf>
    <xf numFmtId="0" fontId="6" fillId="3" borderId="18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6" fillId="3" borderId="19" xfId="0" applyFont="1" applyFill="1" applyBorder="1" applyAlignment="1">
      <alignment horizontal="left"/>
    </xf>
    <xf numFmtId="0" fontId="11" fillId="3" borderId="12" xfId="0" applyFont="1" applyFill="1" applyBorder="1" applyAlignment="1">
      <alignment horizontal="left"/>
    </xf>
    <xf numFmtId="0" fontId="11" fillId="3" borderId="13" xfId="0" applyFont="1" applyFill="1" applyBorder="1" applyAlignment="1">
      <alignment horizontal="left"/>
    </xf>
    <xf numFmtId="0" fontId="11" fillId="3" borderId="14" xfId="0" applyFont="1" applyFill="1" applyBorder="1" applyAlignment="1">
      <alignment horizontal="left"/>
    </xf>
    <xf numFmtId="49" fontId="3" fillId="3" borderId="13" xfId="2" applyNumberFormat="1" applyFill="1" applyBorder="1" applyAlignment="1" applyProtection="1">
      <alignment horizontal="left"/>
      <protection locked="0"/>
    </xf>
    <xf numFmtId="49" fontId="9" fillId="3" borderId="13" xfId="0" applyNumberFormat="1" applyFont="1" applyFill="1" applyBorder="1" applyAlignment="1" applyProtection="1">
      <alignment horizontal="left"/>
      <protection locked="0"/>
    </xf>
    <xf numFmtId="49" fontId="9" fillId="3" borderId="14" xfId="0" applyNumberFormat="1" applyFont="1" applyFill="1" applyBorder="1" applyAlignment="1" applyProtection="1">
      <alignment horizontal="left"/>
      <protection locked="0"/>
    </xf>
    <xf numFmtId="0" fontId="0" fillId="0" borderId="25" xfId="0" applyBorder="1" applyAlignment="1">
      <alignment horizontal="center"/>
    </xf>
    <xf numFmtId="0" fontId="9" fillId="3" borderId="11" xfId="0" applyFont="1" applyFill="1" applyBorder="1" applyAlignment="1" applyProtection="1">
      <alignment horizontal="left"/>
      <protection locked="0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right"/>
    </xf>
    <xf numFmtId="0" fontId="6" fillId="3" borderId="0" xfId="0" applyFont="1" applyFill="1" applyAlignment="1">
      <alignment horizontal="right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8" xfId="0" applyFont="1" applyBorder="1" applyAlignment="1" applyProtection="1">
      <alignment horizontal="left"/>
      <protection locked="0"/>
    </xf>
    <xf numFmtId="0" fontId="9" fillId="0" borderId="10" xfId="0" applyFont="1" applyBorder="1" applyAlignment="1" applyProtection="1">
      <alignment horizontal="left"/>
      <protection locked="0"/>
    </xf>
    <xf numFmtId="0" fontId="12" fillId="5" borderId="9" xfId="0" applyFont="1" applyFill="1" applyBorder="1" applyAlignment="1" applyProtection="1">
      <alignment horizontal="center" vertical="center" wrapText="1"/>
      <protection locked="0"/>
    </xf>
    <xf numFmtId="0" fontId="12" fillId="5" borderId="8" xfId="0" applyFont="1" applyFill="1" applyBorder="1" applyAlignment="1" applyProtection="1">
      <alignment horizontal="center" vertical="center" wrapText="1"/>
      <protection locked="0"/>
    </xf>
    <xf numFmtId="0" fontId="12" fillId="5" borderId="11" xfId="0" applyFont="1" applyFill="1" applyBorder="1" applyAlignment="1" applyProtection="1">
      <alignment horizontal="center" vertical="center" wrapText="1"/>
      <protection locked="0"/>
    </xf>
    <xf numFmtId="0" fontId="12" fillId="5" borderId="21" xfId="0" applyFont="1" applyFill="1" applyBorder="1" applyAlignment="1" applyProtection="1">
      <alignment horizontal="center" vertical="center" wrapText="1"/>
      <protection locked="0"/>
    </xf>
    <xf numFmtId="0" fontId="7" fillId="4" borderId="21" xfId="0" applyFont="1" applyFill="1" applyBorder="1" applyAlignment="1">
      <alignment horizontal="center"/>
    </xf>
    <xf numFmtId="0" fontId="16" fillId="7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5" borderId="21" xfId="0" applyFont="1" applyFill="1" applyBorder="1" applyAlignment="1" applyProtection="1">
      <alignment horizontal="center" vertical="center" wrapText="1"/>
      <protection locked="0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885825</xdr:colOff>
      <xdr:row>6</xdr:row>
      <xdr:rowOff>9525</xdr:rowOff>
    </xdr:to>
    <xdr:pic>
      <xdr:nvPicPr>
        <xdr:cNvPr id="2" name="Picture 2" descr="ingram_micro_cdr_v9">
          <a:extLst>
            <a:ext uri="{FF2B5EF4-FFF2-40B4-BE49-F238E27FC236}">
              <a16:creationId xmlns:a16="http://schemas.microsoft.com/office/drawing/2014/main" id="{42D3FA39-64FB-4F10-8FF0-C8D0BF80B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866775"/>
          <a:ext cx="8858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466725</xdr:colOff>
      <xdr:row>36</xdr:row>
      <xdr:rowOff>104775</xdr:rowOff>
    </xdr:from>
    <xdr:to>
      <xdr:col>11</xdr:col>
      <xdr:colOff>219075</xdr:colOff>
      <xdr:row>46</xdr:row>
      <xdr:rowOff>38100</xdr:rowOff>
    </xdr:to>
    <xdr:sp macro="" textlink="">
      <xdr:nvSpPr>
        <xdr:cNvPr id="5" name="Bisel 3">
          <a:extLst>
            <a:ext uri="{FF2B5EF4-FFF2-40B4-BE49-F238E27FC236}">
              <a16:creationId xmlns:a16="http://schemas.microsoft.com/office/drawing/2014/main" id="{967CD92B-6F7A-496B-97E8-1B7C76799C31}"/>
            </a:ext>
          </a:extLst>
        </xdr:cNvPr>
        <xdr:cNvSpPr/>
      </xdr:nvSpPr>
      <xdr:spPr>
        <a:xfrm>
          <a:off x="7000875" y="7810500"/>
          <a:ext cx="2190750" cy="3895725"/>
        </a:xfrm>
        <a:prstGeom prst="bevel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Valores</a:t>
          </a:r>
          <a:r>
            <a:rPr lang="pt-BR" sz="1400" baseline="0">
              <a:solidFill>
                <a:sysClr val="windowText" lastClr="000000"/>
              </a:solidFill>
            </a:rPr>
            <a:t> de custo </a:t>
          </a:r>
          <a:r>
            <a:rPr lang="pt-BR" sz="1400" b="1" baseline="0">
              <a:solidFill>
                <a:sysClr val="windowText" lastClr="000000"/>
              </a:solidFill>
            </a:rPr>
            <a:t>REVENDA </a:t>
          </a:r>
          <a:endParaRPr lang="pt-B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495300</xdr:colOff>
      <xdr:row>46</xdr:row>
      <xdr:rowOff>0</xdr:rowOff>
    </xdr:from>
    <xdr:to>
      <xdr:col>11</xdr:col>
      <xdr:colOff>247650</xdr:colOff>
      <xdr:row>46</xdr:row>
      <xdr:rowOff>47624</xdr:rowOff>
    </xdr:to>
    <xdr:sp macro="" textlink="">
      <xdr:nvSpPr>
        <xdr:cNvPr id="6" name="Bisel 5">
          <a:extLst>
            <a:ext uri="{FF2B5EF4-FFF2-40B4-BE49-F238E27FC236}">
              <a16:creationId xmlns:a16="http://schemas.microsoft.com/office/drawing/2014/main" id="{94E06C08-6234-45DF-A94A-F1D6E1E4DA1C}"/>
            </a:ext>
          </a:extLst>
        </xdr:cNvPr>
        <xdr:cNvSpPr/>
      </xdr:nvSpPr>
      <xdr:spPr>
        <a:xfrm>
          <a:off x="7019925" y="9210675"/>
          <a:ext cx="2190750" cy="914399"/>
        </a:xfrm>
        <a:prstGeom prst="bevel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/>
            <a:t>Valores CLIENTE FINAL EM REAIS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9</xdr:col>
      <xdr:colOff>152400</xdr:colOff>
      <xdr:row>52</xdr:row>
      <xdr:rowOff>76200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27E96F9-CDC4-4BCE-9C63-71813F7E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5400675" cy="445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152400</xdr:colOff>
      <xdr:row>76</xdr:row>
      <xdr:rowOff>76200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E59C148-F21D-4CA4-8A7B-79F0191A4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5400675" cy="445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8378</xdr:colOff>
      <xdr:row>28</xdr:row>
      <xdr:rowOff>170833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8859F8-BFB8-4472-89E4-534C0BA81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625"/>
          <a:ext cx="9171428" cy="4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tur@ovd.com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6"/>
  <sheetViews>
    <sheetView tabSelected="1" workbookViewId="0">
      <pane ySplit="4" topLeftCell="A8" activePane="bottomLeft" state="frozen"/>
      <selection pane="bottomLeft" activeCell="C11" sqref="C11:G11"/>
    </sheetView>
  </sheetViews>
  <sheetFormatPr defaultRowHeight="15" x14ac:dyDescent="0.25"/>
  <cols>
    <col min="1" max="1" width="7.140625" customWidth="1"/>
    <col min="2" max="2" width="31.5703125" customWidth="1"/>
    <col min="3" max="3" width="12.42578125" customWidth="1"/>
    <col min="4" max="4" width="15.28515625" customWidth="1"/>
    <col min="5" max="7" width="15.85546875" bestFit="1" customWidth="1"/>
    <col min="8" max="8" width="10.140625" bestFit="1" customWidth="1"/>
    <col min="9" max="9" width="9.5703125" bestFit="1" customWidth="1"/>
    <col min="13" max="13" width="12.140625" bestFit="1" customWidth="1"/>
  </cols>
  <sheetData>
    <row r="1" spans="2:9" ht="15.75" thickBot="1" x14ac:dyDescent="0.3"/>
    <row r="2" spans="2:9" ht="16.5" thickTop="1" thickBot="1" x14ac:dyDescent="0.3">
      <c r="B2" s="40" t="s">
        <v>14</v>
      </c>
      <c r="C2" s="41"/>
      <c r="D2" s="41"/>
      <c r="E2" s="41"/>
      <c r="F2" s="41"/>
      <c r="G2" s="42"/>
    </row>
    <row r="3" spans="2:9" ht="13.5" customHeight="1" thickTop="1" x14ac:dyDescent="0.25">
      <c r="B3" s="60"/>
      <c r="C3" s="60"/>
      <c r="D3" s="60"/>
      <c r="E3" s="60"/>
      <c r="F3" s="60"/>
      <c r="G3" s="60"/>
      <c r="H3" s="47"/>
      <c r="I3" s="47"/>
    </row>
    <row r="4" spans="2:9" x14ac:dyDescent="0.25">
      <c r="B4" s="43"/>
      <c r="C4" s="43"/>
      <c r="D4" s="43"/>
      <c r="E4" s="43"/>
      <c r="F4" s="43"/>
      <c r="G4" s="43"/>
      <c r="H4" s="47"/>
      <c r="I4" s="47"/>
    </row>
    <row r="7" spans="2:9" ht="15.75" thickBot="1" x14ac:dyDescent="0.3"/>
    <row r="8" spans="2:9" x14ac:dyDescent="0.25">
      <c r="B8" s="44" t="s">
        <v>16</v>
      </c>
      <c r="C8" s="45"/>
      <c r="D8" s="45"/>
      <c r="E8" s="45"/>
      <c r="F8" s="45"/>
      <c r="G8" s="46"/>
    </row>
    <row r="9" spans="2:9" x14ac:dyDescent="0.25">
      <c r="B9" s="1" t="s">
        <v>11</v>
      </c>
      <c r="C9" s="38" t="s">
        <v>31</v>
      </c>
      <c r="D9" s="38"/>
      <c r="E9" s="38"/>
      <c r="F9" s="38"/>
      <c r="G9" s="39"/>
    </row>
    <row r="10" spans="2:9" x14ac:dyDescent="0.25">
      <c r="B10" s="1" t="s">
        <v>12</v>
      </c>
      <c r="C10" s="38" t="s">
        <v>32</v>
      </c>
      <c r="D10" s="38"/>
      <c r="E10" s="38"/>
      <c r="F10" s="38"/>
      <c r="G10" s="39"/>
    </row>
    <row r="11" spans="2:9" x14ac:dyDescent="0.25">
      <c r="B11" s="1" t="s">
        <v>18</v>
      </c>
      <c r="C11" s="38" t="s">
        <v>49</v>
      </c>
      <c r="D11" s="38"/>
      <c r="E11" s="38"/>
      <c r="F11" s="38"/>
      <c r="G11" s="39"/>
    </row>
    <row r="12" spans="2:9" ht="21.75" customHeight="1" thickBot="1" x14ac:dyDescent="0.3">
      <c r="B12" s="29"/>
      <c r="C12" s="29"/>
      <c r="D12" s="29"/>
      <c r="E12" s="29"/>
      <c r="F12" s="29"/>
      <c r="G12" s="29"/>
    </row>
    <row r="13" spans="2:9" x14ac:dyDescent="0.25">
      <c r="B13" s="44" t="s">
        <v>17</v>
      </c>
      <c r="C13" s="45"/>
      <c r="D13" s="45"/>
      <c r="E13" s="45"/>
      <c r="F13" s="45"/>
      <c r="G13" s="46"/>
    </row>
    <row r="14" spans="2:9" x14ac:dyDescent="0.25">
      <c r="B14" s="1" t="s">
        <v>11</v>
      </c>
      <c r="C14" s="38" t="s">
        <v>35</v>
      </c>
      <c r="D14" s="38"/>
      <c r="E14" s="38"/>
      <c r="F14" s="38"/>
      <c r="G14" s="39"/>
    </row>
    <row r="15" spans="2:9" x14ac:dyDescent="0.25">
      <c r="B15" s="1" t="s">
        <v>12</v>
      </c>
      <c r="C15" s="38" t="s">
        <v>36</v>
      </c>
      <c r="D15" s="38"/>
      <c r="E15" s="38"/>
      <c r="F15" s="38"/>
      <c r="G15" s="39"/>
    </row>
    <row r="16" spans="2:9" x14ac:dyDescent="0.25">
      <c r="B16" s="1" t="s">
        <v>13</v>
      </c>
      <c r="C16" s="38" t="s">
        <v>37</v>
      </c>
      <c r="D16" s="38"/>
      <c r="E16" s="38"/>
      <c r="F16" s="38"/>
      <c r="G16" s="39"/>
    </row>
    <row r="17" spans="2:7" x14ac:dyDescent="0.25">
      <c r="B17" s="1" t="s">
        <v>0</v>
      </c>
      <c r="C17" s="36" t="s">
        <v>38</v>
      </c>
      <c r="D17" s="36"/>
      <c r="E17" s="36"/>
      <c r="F17" s="36"/>
      <c r="G17" s="37"/>
    </row>
    <row r="18" spans="2:7" x14ac:dyDescent="0.25">
      <c r="B18" s="1" t="s">
        <v>1</v>
      </c>
      <c r="C18" s="36" t="s">
        <v>39</v>
      </c>
      <c r="D18" s="36"/>
      <c r="E18" s="61"/>
      <c r="F18" s="2" t="s">
        <v>45</v>
      </c>
      <c r="G18" s="3"/>
    </row>
    <row r="19" spans="2:7" x14ac:dyDescent="0.25">
      <c r="B19" s="1" t="s">
        <v>2</v>
      </c>
      <c r="C19" s="36" t="s">
        <v>40</v>
      </c>
      <c r="D19" s="36"/>
      <c r="E19" s="61"/>
      <c r="F19" s="4" t="s">
        <v>41</v>
      </c>
      <c r="G19" s="7"/>
    </row>
    <row r="20" spans="2:7" x14ac:dyDescent="0.25">
      <c r="B20" s="1" t="s">
        <v>3</v>
      </c>
      <c r="C20" s="36" t="s">
        <v>42</v>
      </c>
      <c r="D20" s="36"/>
      <c r="E20" s="36"/>
      <c r="F20" s="36"/>
      <c r="G20" s="37"/>
    </row>
    <row r="21" spans="2:7" x14ac:dyDescent="0.25">
      <c r="B21" s="1" t="s">
        <v>4</v>
      </c>
      <c r="C21" s="36" t="s">
        <v>44</v>
      </c>
      <c r="D21" s="36"/>
      <c r="E21" s="36"/>
      <c r="F21" s="36"/>
      <c r="G21" s="37"/>
    </row>
    <row r="22" spans="2:7" ht="15.75" thickBot="1" x14ac:dyDescent="0.3">
      <c r="B22" s="5" t="s">
        <v>5</v>
      </c>
      <c r="C22" s="57" t="s">
        <v>43</v>
      </c>
      <c r="D22" s="58"/>
      <c r="E22" s="58"/>
      <c r="F22" s="58"/>
      <c r="G22" s="59"/>
    </row>
    <row r="23" spans="2:7" ht="21.75" customHeight="1" thickBot="1" x14ac:dyDescent="0.3">
      <c r="B23" s="29"/>
      <c r="C23" s="29"/>
      <c r="D23" s="29"/>
      <c r="E23" s="29"/>
      <c r="F23" s="29"/>
      <c r="G23" s="29"/>
    </row>
    <row r="24" spans="2:7" x14ac:dyDescent="0.25">
      <c r="B24" s="62" t="s">
        <v>15</v>
      </c>
      <c r="C24" s="63"/>
      <c r="D24" s="63"/>
      <c r="E24" s="63"/>
      <c r="F24" s="63"/>
      <c r="G24" s="64"/>
    </row>
    <row r="25" spans="2:7" x14ac:dyDescent="0.25">
      <c r="B25" s="65"/>
      <c r="C25" s="66"/>
      <c r="D25" s="66"/>
      <c r="E25" s="66"/>
      <c r="F25" s="66"/>
      <c r="G25" s="67"/>
    </row>
    <row r="26" spans="2:7" x14ac:dyDescent="0.25">
      <c r="B26" s="68" t="s">
        <v>6</v>
      </c>
      <c r="C26" s="69"/>
      <c r="D26" s="69"/>
      <c r="E26" s="70" t="s">
        <v>47</v>
      </c>
      <c r="F26" s="71"/>
      <c r="G26" s="72"/>
    </row>
    <row r="27" spans="2:7" x14ac:dyDescent="0.25">
      <c r="B27" s="48"/>
      <c r="C27" s="49"/>
      <c r="D27" s="49"/>
      <c r="E27" s="49"/>
      <c r="F27" s="49"/>
      <c r="G27" s="50"/>
    </row>
    <row r="28" spans="2:7" ht="15.75" thickBot="1" x14ac:dyDescent="0.3">
      <c r="B28" s="51"/>
      <c r="C28" s="52"/>
      <c r="D28" s="52"/>
      <c r="E28" s="52"/>
      <c r="F28" s="52"/>
      <c r="G28" s="53"/>
    </row>
    <row r="29" spans="2:7" ht="15.75" thickBot="1" x14ac:dyDescent="0.3">
      <c r="B29" s="6" t="s">
        <v>7</v>
      </c>
      <c r="C29" s="8"/>
      <c r="D29" s="9" t="s">
        <v>8</v>
      </c>
      <c r="E29" s="8" t="s">
        <v>33</v>
      </c>
      <c r="F29" s="9" t="s">
        <v>9</v>
      </c>
      <c r="G29" s="10"/>
    </row>
    <row r="30" spans="2:7" ht="21.75" customHeight="1" thickBot="1" x14ac:dyDescent="0.3">
      <c r="B30" s="54" t="s">
        <v>34</v>
      </c>
      <c r="C30" s="55"/>
      <c r="D30" s="55"/>
      <c r="E30" s="55"/>
      <c r="F30" s="55"/>
      <c r="G30" s="56"/>
    </row>
    <row r="31" spans="2:7" ht="21.75" customHeight="1" x14ac:dyDescent="0.25">
      <c r="B31" s="29"/>
      <c r="C31" s="29"/>
      <c r="D31" s="29"/>
      <c r="E31" s="29"/>
      <c r="F31" s="29"/>
      <c r="G31" s="29"/>
    </row>
    <row r="32" spans="2:7" ht="21.75" customHeight="1" thickBot="1" x14ac:dyDescent="0.3">
      <c r="B32" s="29"/>
      <c r="C32" s="29"/>
      <c r="D32" s="29"/>
      <c r="E32" s="29"/>
      <c r="F32" s="29"/>
      <c r="G32" s="29"/>
    </row>
    <row r="33" spans="2:13" ht="16.5" customHeight="1" thickBot="1" x14ac:dyDescent="0.3">
      <c r="B33" s="33" t="s">
        <v>19</v>
      </c>
      <c r="C33" s="34"/>
      <c r="D33" s="34"/>
      <c r="E33" s="34"/>
      <c r="F33" s="34"/>
      <c r="G33" s="35"/>
    </row>
    <row r="34" spans="2:13" ht="29.25" customHeight="1" x14ac:dyDescent="0.25">
      <c r="B34" s="30" t="s">
        <v>50</v>
      </c>
      <c r="C34" s="31"/>
      <c r="D34" s="31"/>
      <c r="E34" s="31"/>
      <c r="F34" s="31"/>
      <c r="G34" s="32"/>
    </row>
    <row r="35" spans="2:13" ht="21.75" customHeight="1" x14ac:dyDescent="0.25">
      <c r="B35" s="29"/>
      <c r="C35" s="29"/>
      <c r="D35" s="29"/>
      <c r="E35" s="29"/>
      <c r="F35" s="29"/>
      <c r="G35" s="29"/>
    </row>
    <row r="36" spans="2:13" ht="21.75" customHeight="1" x14ac:dyDescent="0.25">
      <c r="B36" s="29"/>
      <c r="C36" s="29"/>
      <c r="D36" s="29"/>
      <c r="E36" s="29"/>
      <c r="F36" s="29"/>
      <c r="G36" s="29"/>
    </row>
    <row r="37" spans="2:13" ht="18" x14ac:dyDescent="0.25">
      <c r="B37" s="78" t="s">
        <v>22</v>
      </c>
      <c r="C37" s="78"/>
      <c r="D37" s="78" t="s">
        <v>23</v>
      </c>
      <c r="E37" s="78"/>
      <c r="F37" s="78" t="s">
        <v>24</v>
      </c>
      <c r="G37" s="78"/>
    </row>
    <row r="38" spans="2:13" x14ac:dyDescent="0.25">
      <c r="B38" s="13" t="s">
        <v>26</v>
      </c>
      <c r="C38" s="13" t="s">
        <v>10</v>
      </c>
      <c r="D38" s="14" t="s">
        <v>28</v>
      </c>
      <c r="E38" s="14" t="s">
        <v>29</v>
      </c>
      <c r="F38" s="14" t="s">
        <v>28</v>
      </c>
      <c r="G38" s="14" t="s">
        <v>29</v>
      </c>
      <c r="H38" s="15"/>
      <c r="I38" s="15"/>
      <c r="J38" s="15"/>
      <c r="K38" s="15"/>
      <c r="L38" s="15"/>
      <c r="M38" s="15"/>
    </row>
    <row r="39" spans="2:13" ht="16.5" customHeight="1" x14ac:dyDescent="0.25">
      <c r="B39" s="24" t="s">
        <v>51</v>
      </c>
      <c r="C39" s="16">
        <v>1</v>
      </c>
      <c r="D39" s="25">
        <v>31571.86</v>
      </c>
      <c r="E39" s="18">
        <f t="shared" ref="E39:E46" si="0">(D39*C39)</f>
        <v>31571.86</v>
      </c>
      <c r="F39" s="19">
        <v>38977.599999999999</v>
      </c>
      <c r="G39" s="20">
        <f t="shared" ref="G39:G46" si="1">F39*C39</f>
        <v>38977.599999999999</v>
      </c>
      <c r="M39" s="28">
        <f>G39-E39</f>
        <v>7405.739999999998</v>
      </c>
    </row>
    <row r="40" spans="2:13" ht="16.5" customHeight="1" x14ac:dyDescent="0.25">
      <c r="B40" s="24" t="s">
        <v>52</v>
      </c>
      <c r="C40" s="16">
        <v>1</v>
      </c>
      <c r="D40" s="25">
        <v>3776</v>
      </c>
      <c r="E40" s="18">
        <f t="shared" si="0"/>
        <v>3776</v>
      </c>
      <c r="F40" s="19">
        <v>4720</v>
      </c>
      <c r="G40" s="20">
        <f t="shared" si="1"/>
        <v>4720</v>
      </c>
      <c r="M40" s="28">
        <f>G40-E40</f>
        <v>944</v>
      </c>
    </row>
    <row r="41" spans="2:13" ht="16.5" customHeight="1" x14ac:dyDescent="0.25">
      <c r="B41" s="26"/>
      <c r="C41" s="16"/>
      <c r="D41" s="25"/>
      <c r="E41" s="18">
        <f t="shared" si="0"/>
        <v>0</v>
      </c>
      <c r="F41" s="19"/>
      <c r="G41" s="20">
        <f t="shared" si="1"/>
        <v>0</v>
      </c>
    </row>
    <row r="42" spans="2:13" ht="16.5" customHeight="1" x14ac:dyDescent="0.25">
      <c r="B42" s="24"/>
      <c r="C42" s="16"/>
      <c r="D42" s="25"/>
      <c r="E42" s="18">
        <f t="shared" si="0"/>
        <v>0</v>
      </c>
      <c r="F42" s="19"/>
      <c r="G42" s="20">
        <f t="shared" si="1"/>
        <v>0</v>
      </c>
    </row>
    <row r="43" spans="2:13" ht="16.5" customHeight="1" x14ac:dyDescent="0.25">
      <c r="B43" s="24"/>
      <c r="C43" s="16"/>
      <c r="D43" s="25"/>
      <c r="E43" s="18">
        <f t="shared" si="0"/>
        <v>0</v>
      </c>
      <c r="F43" s="19"/>
      <c r="G43" s="20">
        <f t="shared" si="1"/>
        <v>0</v>
      </c>
    </row>
    <row r="44" spans="2:13" ht="16.5" customHeight="1" x14ac:dyDescent="0.25">
      <c r="B44" s="24"/>
      <c r="C44" s="16"/>
      <c r="D44" s="25"/>
      <c r="E44" s="18">
        <f t="shared" si="0"/>
        <v>0</v>
      </c>
      <c r="F44" s="19"/>
      <c r="G44" s="20">
        <f t="shared" si="1"/>
        <v>0</v>
      </c>
    </row>
    <row r="45" spans="2:13" ht="16.5" hidden="1" customHeight="1" x14ac:dyDescent="0.25">
      <c r="B45" s="24"/>
      <c r="C45" s="16"/>
      <c r="D45" s="17"/>
      <c r="E45" s="18">
        <f t="shared" si="0"/>
        <v>0</v>
      </c>
      <c r="F45" s="19"/>
      <c r="G45" s="20">
        <f t="shared" si="1"/>
        <v>0</v>
      </c>
    </row>
    <row r="46" spans="2:13" ht="16.5" hidden="1" customHeight="1" x14ac:dyDescent="0.25">
      <c r="B46" s="24"/>
      <c r="C46" s="16"/>
      <c r="D46" s="17"/>
      <c r="E46" s="18">
        <f t="shared" si="0"/>
        <v>0</v>
      </c>
      <c r="F46" s="19"/>
      <c r="G46" s="20">
        <f t="shared" si="1"/>
        <v>0</v>
      </c>
    </row>
    <row r="47" spans="2:13" x14ac:dyDescent="0.25">
      <c r="B47" s="79" t="s">
        <v>25</v>
      </c>
      <c r="C47" s="80"/>
      <c r="D47" s="80"/>
      <c r="E47" s="21">
        <f>SUM(E39:E46)</f>
        <v>35347.86</v>
      </c>
      <c r="F47" s="23"/>
      <c r="G47" s="22">
        <f>SUM(G39:G46)</f>
        <v>43697.599999999999</v>
      </c>
    </row>
    <row r="48" spans="2:13" ht="21.75" customHeight="1" x14ac:dyDescent="0.25">
      <c r="B48" s="29"/>
      <c r="C48" s="29"/>
      <c r="D48" s="29"/>
      <c r="E48" s="29"/>
      <c r="F48" s="29"/>
      <c r="G48" s="29"/>
      <c r="H48" s="27"/>
      <c r="I48" s="28"/>
    </row>
    <row r="49" spans="2:7" ht="21.75" customHeight="1" thickBot="1" x14ac:dyDescent="0.3">
      <c r="B49" s="29"/>
      <c r="C49" s="29"/>
      <c r="D49" s="29"/>
      <c r="E49" s="29"/>
      <c r="F49" s="29"/>
      <c r="G49" s="29"/>
    </row>
    <row r="50" spans="2:7" ht="15.75" thickBot="1" x14ac:dyDescent="0.3">
      <c r="B50" s="33" t="s">
        <v>30</v>
      </c>
      <c r="C50" s="34"/>
      <c r="D50" s="34"/>
      <c r="E50" s="34"/>
      <c r="F50" s="34"/>
      <c r="G50" s="35"/>
    </row>
    <row r="51" spans="2:7" ht="19.5" customHeight="1" x14ac:dyDescent="0.25">
      <c r="B51" s="81"/>
      <c r="C51" s="81"/>
      <c r="D51" s="81"/>
      <c r="E51" s="81"/>
      <c r="F51" s="81"/>
      <c r="G51" s="81"/>
    </row>
    <row r="52" spans="2:7" ht="21.75" customHeight="1" x14ac:dyDescent="0.25">
      <c r="B52" s="29"/>
      <c r="C52" s="29"/>
      <c r="D52" s="29"/>
      <c r="E52" s="29"/>
      <c r="F52" s="29"/>
      <c r="G52" s="29"/>
    </row>
    <row r="53" spans="2:7" ht="21.75" customHeight="1" x14ac:dyDescent="0.25">
      <c r="B53" s="29"/>
      <c r="C53" s="29"/>
      <c r="D53" s="29"/>
      <c r="E53" s="29"/>
      <c r="F53" s="29"/>
      <c r="G53" s="29"/>
    </row>
    <row r="54" spans="2:7" x14ac:dyDescent="0.25">
      <c r="B54" s="77" t="s">
        <v>27</v>
      </c>
      <c r="C54" s="77"/>
      <c r="D54" s="77"/>
      <c r="E54" s="77"/>
      <c r="F54" s="77"/>
      <c r="G54" s="77"/>
    </row>
    <row r="55" spans="2:7" ht="19.5" customHeight="1" x14ac:dyDescent="0.25">
      <c r="B55" s="76" t="s">
        <v>48</v>
      </c>
      <c r="C55" s="76"/>
      <c r="D55" s="76"/>
      <c r="E55" s="76"/>
      <c r="F55" s="76"/>
      <c r="G55" s="76"/>
    </row>
    <row r="56" spans="2:7" ht="39" customHeight="1" x14ac:dyDescent="0.25">
      <c r="B56" s="73" t="s">
        <v>46</v>
      </c>
      <c r="C56" s="74"/>
      <c r="D56" s="74"/>
      <c r="E56" s="74"/>
      <c r="F56" s="74"/>
      <c r="G56" s="75"/>
    </row>
  </sheetData>
  <mergeCells count="46">
    <mergeCell ref="B56:G56"/>
    <mergeCell ref="B55:G55"/>
    <mergeCell ref="B54:G54"/>
    <mergeCell ref="B53:G53"/>
    <mergeCell ref="B37:C37"/>
    <mergeCell ref="D37:E37"/>
    <mergeCell ref="F37:G37"/>
    <mergeCell ref="B47:D47"/>
    <mergeCell ref="B49:G49"/>
    <mergeCell ref="B52:G52"/>
    <mergeCell ref="B48:G48"/>
    <mergeCell ref="B51:G51"/>
    <mergeCell ref="B50:G50"/>
    <mergeCell ref="H3:I4"/>
    <mergeCell ref="B27:G27"/>
    <mergeCell ref="B28:G28"/>
    <mergeCell ref="B30:G30"/>
    <mergeCell ref="C20:G20"/>
    <mergeCell ref="C21:G21"/>
    <mergeCell ref="C22:G22"/>
    <mergeCell ref="B3:G3"/>
    <mergeCell ref="C18:E18"/>
    <mergeCell ref="C19:E19"/>
    <mergeCell ref="B24:G24"/>
    <mergeCell ref="B25:G25"/>
    <mergeCell ref="B26:D26"/>
    <mergeCell ref="E26:G26"/>
    <mergeCell ref="C15:G15"/>
    <mergeCell ref="C16:G16"/>
    <mergeCell ref="B2:G2"/>
    <mergeCell ref="B4:G4"/>
    <mergeCell ref="B8:G8"/>
    <mergeCell ref="C10:G10"/>
    <mergeCell ref="B13:G13"/>
    <mergeCell ref="C17:G17"/>
    <mergeCell ref="C14:G14"/>
    <mergeCell ref="C9:G9"/>
    <mergeCell ref="C11:G11"/>
    <mergeCell ref="B12:G12"/>
    <mergeCell ref="B23:G23"/>
    <mergeCell ref="B36:G36"/>
    <mergeCell ref="B35:G35"/>
    <mergeCell ref="B31:G31"/>
    <mergeCell ref="B32:G32"/>
    <mergeCell ref="B34:G34"/>
    <mergeCell ref="B33:G33"/>
  </mergeCells>
  <hyperlinks>
    <hyperlink ref="C22" r:id="rId1" xr:uid="{381A1A4F-B68F-4E1E-AC1D-B7309B94835B}"/>
  </hyperlinks>
  <pageMargins left="0.51181102362204722" right="0.51181102362204722" top="0.78740157480314965" bottom="0.78740157480314965" header="0.31496062992125984" footer="0.31496062992125984"/>
  <pageSetup scale="71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6505-C4C9-4DFB-BF71-86504CCC2715}">
  <dimension ref="A1"/>
  <sheetViews>
    <sheetView topLeftCell="A8" workbookViewId="0">
      <selection activeCell="E25" sqref="E25"/>
    </sheetView>
  </sheetViews>
  <sheetFormatPr defaultRowHeight="15" x14ac:dyDescent="0.25"/>
  <cols>
    <col min="1" max="1" width="6.5703125" customWidth="1"/>
    <col min="2" max="2" width="8.140625" customWidth="1"/>
    <col min="4" max="4" width="9.140625" customWidth="1"/>
    <col min="256" max="256" width="116.28515625" bestFit="1" customWidth="1"/>
    <col min="257" max="257" width="16.28515625" customWidth="1"/>
    <col min="260" max="260" width="12.85546875" bestFit="1" customWidth="1"/>
    <col min="512" max="512" width="116.28515625" bestFit="1" customWidth="1"/>
    <col min="513" max="513" width="16.28515625" customWidth="1"/>
    <col min="516" max="516" width="12.85546875" bestFit="1" customWidth="1"/>
    <col min="768" max="768" width="116.28515625" bestFit="1" customWidth="1"/>
    <col min="769" max="769" width="16.28515625" customWidth="1"/>
    <col min="772" max="772" width="12.85546875" bestFit="1" customWidth="1"/>
    <col min="1024" max="1024" width="116.28515625" bestFit="1" customWidth="1"/>
    <col min="1025" max="1025" width="16.28515625" customWidth="1"/>
    <col min="1028" max="1028" width="12.85546875" bestFit="1" customWidth="1"/>
    <col min="1280" max="1280" width="116.28515625" bestFit="1" customWidth="1"/>
    <col min="1281" max="1281" width="16.28515625" customWidth="1"/>
    <col min="1284" max="1284" width="12.85546875" bestFit="1" customWidth="1"/>
    <col min="1536" max="1536" width="116.28515625" bestFit="1" customWidth="1"/>
    <col min="1537" max="1537" width="16.28515625" customWidth="1"/>
    <col min="1540" max="1540" width="12.85546875" bestFit="1" customWidth="1"/>
    <col min="1792" max="1792" width="116.28515625" bestFit="1" customWidth="1"/>
    <col min="1793" max="1793" width="16.28515625" customWidth="1"/>
    <col min="1796" max="1796" width="12.85546875" bestFit="1" customWidth="1"/>
    <col min="2048" max="2048" width="116.28515625" bestFit="1" customWidth="1"/>
    <col min="2049" max="2049" width="16.28515625" customWidth="1"/>
    <col min="2052" max="2052" width="12.85546875" bestFit="1" customWidth="1"/>
    <col min="2304" max="2304" width="116.28515625" bestFit="1" customWidth="1"/>
    <col min="2305" max="2305" width="16.28515625" customWidth="1"/>
    <col min="2308" max="2308" width="12.85546875" bestFit="1" customWidth="1"/>
    <col min="2560" max="2560" width="116.28515625" bestFit="1" customWidth="1"/>
    <col min="2561" max="2561" width="16.28515625" customWidth="1"/>
    <col min="2564" max="2564" width="12.85546875" bestFit="1" customWidth="1"/>
    <col min="2816" max="2816" width="116.28515625" bestFit="1" customWidth="1"/>
    <col min="2817" max="2817" width="16.28515625" customWidth="1"/>
    <col min="2820" max="2820" width="12.85546875" bestFit="1" customWidth="1"/>
    <col min="3072" max="3072" width="116.28515625" bestFit="1" customWidth="1"/>
    <col min="3073" max="3073" width="16.28515625" customWidth="1"/>
    <col min="3076" max="3076" width="12.85546875" bestFit="1" customWidth="1"/>
    <col min="3328" max="3328" width="116.28515625" bestFit="1" customWidth="1"/>
    <col min="3329" max="3329" width="16.28515625" customWidth="1"/>
    <col min="3332" max="3332" width="12.85546875" bestFit="1" customWidth="1"/>
    <col min="3584" max="3584" width="116.28515625" bestFit="1" customWidth="1"/>
    <col min="3585" max="3585" width="16.28515625" customWidth="1"/>
    <col min="3588" max="3588" width="12.85546875" bestFit="1" customWidth="1"/>
    <col min="3840" max="3840" width="116.28515625" bestFit="1" customWidth="1"/>
    <col min="3841" max="3841" width="16.28515625" customWidth="1"/>
    <col min="3844" max="3844" width="12.85546875" bestFit="1" customWidth="1"/>
    <col min="4096" max="4096" width="116.28515625" bestFit="1" customWidth="1"/>
    <col min="4097" max="4097" width="16.28515625" customWidth="1"/>
    <col min="4100" max="4100" width="12.85546875" bestFit="1" customWidth="1"/>
    <col min="4352" max="4352" width="116.28515625" bestFit="1" customWidth="1"/>
    <col min="4353" max="4353" width="16.28515625" customWidth="1"/>
    <col min="4356" max="4356" width="12.85546875" bestFit="1" customWidth="1"/>
    <col min="4608" max="4608" width="116.28515625" bestFit="1" customWidth="1"/>
    <col min="4609" max="4609" width="16.28515625" customWidth="1"/>
    <col min="4612" max="4612" width="12.85546875" bestFit="1" customWidth="1"/>
    <col min="4864" max="4864" width="116.28515625" bestFit="1" customWidth="1"/>
    <col min="4865" max="4865" width="16.28515625" customWidth="1"/>
    <col min="4868" max="4868" width="12.85546875" bestFit="1" customWidth="1"/>
    <col min="5120" max="5120" width="116.28515625" bestFit="1" customWidth="1"/>
    <col min="5121" max="5121" width="16.28515625" customWidth="1"/>
    <col min="5124" max="5124" width="12.85546875" bestFit="1" customWidth="1"/>
    <col min="5376" max="5376" width="116.28515625" bestFit="1" customWidth="1"/>
    <col min="5377" max="5377" width="16.28515625" customWidth="1"/>
    <col min="5380" max="5380" width="12.85546875" bestFit="1" customWidth="1"/>
    <col min="5632" max="5632" width="116.28515625" bestFit="1" customWidth="1"/>
    <col min="5633" max="5633" width="16.28515625" customWidth="1"/>
    <col min="5636" max="5636" width="12.85546875" bestFit="1" customWidth="1"/>
    <col min="5888" max="5888" width="116.28515625" bestFit="1" customWidth="1"/>
    <col min="5889" max="5889" width="16.28515625" customWidth="1"/>
    <col min="5892" max="5892" width="12.85546875" bestFit="1" customWidth="1"/>
    <col min="6144" max="6144" width="116.28515625" bestFit="1" customWidth="1"/>
    <col min="6145" max="6145" width="16.28515625" customWidth="1"/>
    <col min="6148" max="6148" width="12.85546875" bestFit="1" customWidth="1"/>
    <col min="6400" max="6400" width="116.28515625" bestFit="1" customWidth="1"/>
    <col min="6401" max="6401" width="16.28515625" customWidth="1"/>
    <col min="6404" max="6404" width="12.85546875" bestFit="1" customWidth="1"/>
    <col min="6656" max="6656" width="116.28515625" bestFit="1" customWidth="1"/>
    <col min="6657" max="6657" width="16.28515625" customWidth="1"/>
    <col min="6660" max="6660" width="12.85546875" bestFit="1" customWidth="1"/>
    <col min="6912" max="6912" width="116.28515625" bestFit="1" customWidth="1"/>
    <col min="6913" max="6913" width="16.28515625" customWidth="1"/>
    <col min="6916" max="6916" width="12.85546875" bestFit="1" customWidth="1"/>
    <col min="7168" max="7168" width="116.28515625" bestFit="1" customWidth="1"/>
    <col min="7169" max="7169" width="16.28515625" customWidth="1"/>
    <col min="7172" max="7172" width="12.85546875" bestFit="1" customWidth="1"/>
    <col min="7424" max="7424" width="116.28515625" bestFit="1" customWidth="1"/>
    <col min="7425" max="7425" width="16.28515625" customWidth="1"/>
    <col min="7428" max="7428" width="12.85546875" bestFit="1" customWidth="1"/>
    <col min="7680" max="7680" width="116.28515625" bestFit="1" customWidth="1"/>
    <col min="7681" max="7681" width="16.28515625" customWidth="1"/>
    <col min="7684" max="7684" width="12.85546875" bestFit="1" customWidth="1"/>
    <col min="7936" max="7936" width="116.28515625" bestFit="1" customWidth="1"/>
    <col min="7937" max="7937" width="16.28515625" customWidth="1"/>
    <col min="7940" max="7940" width="12.85546875" bestFit="1" customWidth="1"/>
    <col min="8192" max="8192" width="116.28515625" bestFit="1" customWidth="1"/>
    <col min="8193" max="8193" width="16.28515625" customWidth="1"/>
    <col min="8196" max="8196" width="12.85546875" bestFit="1" customWidth="1"/>
    <col min="8448" max="8448" width="116.28515625" bestFit="1" customWidth="1"/>
    <col min="8449" max="8449" width="16.28515625" customWidth="1"/>
    <col min="8452" max="8452" width="12.85546875" bestFit="1" customWidth="1"/>
    <col min="8704" max="8704" width="116.28515625" bestFit="1" customWidth="1"/>
    <col min="8705" max="8705" width="16.28515625" customWidth="1"/>
    <col min="8708" max="8708" width="12.85546875" bestFit="1" customWidth="1"/>
    <col min="8960" max="8960" width="116.28515625" bestFit="1" customWidth="1"/>
    <col min="8961" max="8961" width="16.28515625" customWidth="1"/>
    <col min="8964" max="8964" width="12.85546875" bestFit="1" customWidth="1"/>
    <col min="9216" max="9216" width="116.28515625" bestFit="1" customWidth="1"/>
    <col min="9217" max="9217" width="16.28515625" customWidth="1"/>
    <col min="9220" max="9220" width="12.85546875" bestFit="1" customWidth="1"/>
    <col min="9472" max="9472" width="116.28515625" bestFit="1" customWidth="1"/>
    <col min="9473" max="9473" width="16.28515625" customWidth="1"/>
    <col min="9476" max="9476" width="12.85546875" bestFit="1" customWidth="1"/>
    <col min="9728" max="9728" width="116.28515625" bestFit="1" customWidth="1"/>
    <col min="9729" max="9729" width="16.28515625" customWidth="1"/>
    <col min="9732" max="9732" width="12.85546875" bestFit="1" customWidth="1"/>
    <col min="9984" max="9984" width="116.28515625" bestFit="1" customWidth="1"/>
    <col min="9985" max="9985" width="16.28515625" customWidth="1"/>
    <col min="9988" max="9988" width="12.85546875" bestFit="1" customWidth="1"/>
    <col min="10240" max="10240" width="116.28515625" bestFit="1" customWidth="1"/>
    <col min="10241" max="10241" width="16.28515625" customWidth="1"/>
    <col min="10244" max="10244" width="12.85546875" bestFit="1" customWidth="1"/>
    <col min="10496" max="10496" width="116.28515625" bestFit="1" customWidth="1"/>
    <col min="10497" max="10497" width="16.28515625" customWidth="1"/>
    <col min="10500" max="10500" width="12.85546875" bestFit="1" customWidth="1"/>
    <col min="10752" max="10752" width="116.28515625" bestFit="1" customWidth="1"/>
    <col min="10753" max="10753" width="16.28515625" customWidth="1"/>
    <col min="10756" max="10756" width="12.85546875" bestFit="1" customWidth="1"/>
    <col min="11008" max="11008" width="116.28515625" bestFit="1" customWidth="1"/>
    <col min="11009" max="11009" width="16.28515625" customWidth="1"/>
    <col min="11012" max="11012" width="12.85546875" bestFit="1" customWidth="1"/>
    <col min="11264" max="11264" width="116.28515625" bestFit="1" customWidth="1"/>
    <col min="11265" max="11265" width="16.28515625" customWidth="1"/>
    <col min="11268" max="11268" width="12.85546875" bestFit="1" customWidth="1"/>
    <col min="11520" max="11520" width="116.28515625" bestFit="1" customWidth="1"/>
    <col min="11521" max="11521" width="16.28515625" customWidth="1"/>
    <col min="11524" max="11524" width="12.85546875" bestFit="1" customWidth="1"/>
    <col min="11776" max="11776" width="116.28515625" bestFit="1" customWidth="1"/>
    <col min="11777" max="11777" width="16.28515625" customWidth="1"/>
    <col min="11780" max="11780" width="12.85546875" bestFit="1" customWidth="1"/>
    <col min="12032" max="12032" width="116.28515625" bestFit="1" customWidth="1"/>
    <col min="12033" max="12033" width="16.28515625" customWidth="1"/>
    <col min="12036" max="12036" width="12.85546875" bestFit="1" customWidth="1"/>
    <col min="12288" max="12288" width="116.28515625" bestFit="1" customWidth="1"/>
    <col min="12289" max="12289" width="16.28515625" customWidth="1"/>
    <col min="12292" max="12292" width="12.85546875" bestFit="1" customWidth="1"/>
    <col min="12544" max="12544" width="116.28515625" bestFit="1" customWidth="1"/>
    <col min="12545" max="12545" width="16.28515625" customWidth="1"/>
    <col min="12548" max="12548" width="12.85546875" bestFit="1" customWidth="1"/>
    <col min="12800" max="12800" width="116.28515625" bestFit="1" customWidth="1"/>
    <col min="12801" max="12801" width="16.28515625" customWidth="1"/>
    <col min="12804" max="12804" width="12.85546875" bestFit="1" customWidth="1"/>
    <col min="13056" max="13056" width="116.28515625" bestFit="1" customWidth="1"/>
    <col min="13057" max="13057" width="16.28515625" customWidth="1"/>
    <col min="13060" max="13060" width="12.85546875" bestFit="1" customWidth="1"/>
    <col min="13312" max="13312" width="116.28515625" bestFit="1" customWidth="1"/>
    <col min="13313" max="13313" width="16.28515625" customWidth="1"/>
    <col min="13316" max="13316" width="12.85546875" bestFit="1" customWidth="1"/>
    <col min="13568" max="13568" width="116.28515625" bestFit="1" customWidth="1"/>
    <col min="13569" max="13569" width="16.28515625" customWidth="1"/>
    <col min="13572" max="13572" width="12.85546875" bestFit="1" customWidth="1"/>
    <col min="13824" max="13824" width="116.28515625" bestFit="1" customWidth="1"/>
    <col min="13825" max="13825" width="16.28515625" customWidth="1"/>
    <col min="13828" max="13828" width="12.85546875" bestFit="1" customWidth="1"/>
    <col min="14080" max="14080" width="116.28515625" bestFit="1" customWidth="1"/>
    <col min="14081" max="14081" width="16.28515625" customWidth="1"/>
    <col min="14084" max="14084" width="12.85546875" bestFit="1" customWidth="1"/>
    <col min="14336" max="14336" width="116.28515625" bestFit="1" customWidth="1"/>
    <col min="14337" max="14337" width="16.28515625" customWidth="1"/>
    <col min="14340" max="14340" width="12.85546875" bestFit="1" customWidth="1"/>
    <col min="14592" max="14592" width="116.28515625" bestFit="1" customWidth="1"/>
    <col min="14593" max="14593" width="16.28515625" customWidth="1"/>
    <col min="14596" max="14596" width="12.85546875" bestFit="1" customWidth="1"/>
    <col min="14848" max="14848" width="116.28515625" bestFit="1" customWidth="1"/>
    <col min="14849" max="14849" width="16.28515625" customWidth="1"/>
    <col min="14852" max="14852" width="12.85546875" bestFit="1" customWidth="1"/>
    <col min="15104" max="15104" width="116.28515625" bestFit="1" customWidth="1"/>
    <col min="15105" max="15105" width="16.28515625" customWidth="1"/>
    <col min="15108" max="15108" width="12.85546875" bestFit="1" customWidth="1"/>
    <col min="15360" max="15360" width="116.28515625" bestFit="1" customWidth="1"/>
    <col min="15361" max="15361" width="16.28515625" customWidth="1"/>
    <col min="15364" max="15364" width="12.85546875" bestFit="1" customWidth="1"/>
    <col min="15616" max="15616" width="116.28515625" bestFit="1" customWidth="1"/>
    <col min="15617" max="15617" width="16.28515625" customWidth="1"/>
    <col min="15620" max="15620" width="12.85546875" bestFit="1" customWidth="1"/>
    <col min="15872" max="15872" width="116.28515625" bestFit="1" customWidth="1"/>
    <col min="15873" max="15873" width="16.28515625" customWidth="1"/>
    <col min="15876" max="15876" width="12.85546875" bestFit="1" customWidth="1"/>
    <col min="16128" max="16128" width="116.28515625" bestFit="1" customWidth="1"/>
    <col min="16129" max="16129" width="16.28515625" customWidth="1"/>
    <col min="16132" max="16132" width="12.855468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D11" sqref="D11"/>
    </sheetView>
  </sheetViews>
  <sheetFormatPr defaultRowHeight="15" x14ac:dyDescent="0.25"/>
  <cols>
    <col min="1" max="1" width="137.42578125" customWidth="1"/>
    <col min="242" max="242" width="57.28515625" customWidth="1"/>
    <col min="243" max="243" width="6.5703125" customWidth="1"/>
    <col min="244" max="244" width="32.28515625" customWidth="1"/>
    <col min="245" max="245" width="20.140625" bestFit="1" customWidth="1"/>
    <col min="246" max="246" width="17.140625" customWidth="1"/>
    <col min="247" max="247" width="16.140625" customWidth="1"/>
    <col min="248" max="248" width="22.85546875" customWidth="1"/>
    <col min="249" max="249" width="29.140625" customWidth="1"/>
    <col min="250" max="250" width="13.85546875" customWidth="1"/>
    <col min="253" max="253" width="12.5703125" customWidth="1"/>
    <col min="254" max="254" width="12.140625" customWidth="1"/>
    <col min="255" max="255" width="14.85546875" customWidth="1"/>
    <col min="498" max="498" width="57.28515625" customWidth="1"/>
    <col min="499" max="499" width="6.5703125" customWidth="1"/>
    <col min="500" max="500" width="32.28515625" customWidth="1"/>
    <col min="501" max="501" width="20.140625" bestFit="1" customWidth="1"/>
    <col min="502" max="502" width="17.140625" customWidth="1"/>
    <col min="503" max="503" width="16.140625" customWidth="1"/>
    <col min="504" max="504" width="22.85546875" customWidth="1"/>
    <col min="505" max="505" width="29.140625" customWidth="1"/>
    <col min="506" max="506" width="13.85546875" customWidth="1"/>
    <col min="509" max="509" width="12.5703125" customWidth="1"/>
    <col min="510" max="510" width="12.140625" customWidth="1"/>
    <col min="511" max="511" width="14.85546875" customWidth="1"/>
    <col min="754" max="754" width="57.28515625" customWidth="1"/>
    <col min="755" max="755" width="6.5703125" customWidth="1"/>
    <col min="756" max="756" width="32.28515625" customWidth="1"/>
    <col min="757" max="757" width="20.140625" bestFit="1" customWidth="1"/>
    <col min="758" max="758" width="17.140625" customWidth="1"/>
    <col min="759" max="759" width="16.140625" customWidth="1"/>
    <col min="760" max="760" width="22.85546875" customWidth="1"/>
    <col min="761" max="761" width="29.140625" customWidth="1"/>
    <col min="762" max="762" width="13.85546875" customWidth="1"/>
    <col min="765" max="765" width="12.5703125" customWidth="1"/>
    <col min="766" max="766" width="12.140625" customWidth="1"/>
    <col min="767" max="767" width="14.85546875" customWidth="1"/>
    <col min="1010" max="1010" width="57.28515625" customWidth="1"/>
    <col min="1011" max="1011" width="6.5703125" customWidth="1"/>
    <col min="1012" max="1012" width="32.28515625" customWidth="1"/>
    <col min="1013" max="1013" width="20.140625" bestFit="1" customWidth="1"/>
    <col min="1014" max="1014" width="17.140625" customWidth="1"/>
    <col min="1015" max="1015" width="16.140625" customWidth="1"/>
    <col min="1016" max="1016" width="22.85546875" customWidth="1"/>
    <col min="1017" max="1017" width="29.140625" customWidth="1"/>
    <col min="1018" max="1018" width="13.85546875" customWidth="1"/>
    <col min="1021" max="1021" width="12.5703125" customWidth="1"/>
    <col min="1022" max="1022" width="12.140625" customWidth="1"/>
    <col min="1023" max="1023" width="14.85546875" customWidth="1"/>
    <col min="1266" max="1266" width="57.28515625" customWidth="1"/>
    <col min="1267" max="1267" width="6.5703125" customWidth="1"/>
    <col min="1268" max="1268" width="32.28515625" customWidth="1"/>
    <col min="1269" max="1269" width="20.140625" bestFit="1" customWidth="1"/>
    <col min="1270" max="1270" width="17.140625" customWidth="1"/>
    <col min="1271" max="1271" width="16.140625" customWidth="1"/>
    <col min="1272" max="1272" width="22.85546875" customWidth="1"/>
    <col min="1273" max="1273" width="29.140625" customWidth="1"/>
    <col min="1274" max="1274" width="13.85546875" customWidth="1"/>
    <col min="1277" max="1277" width="12.5703125" customWidth="1"/>
    <col min="1278" max="1278" width="12.140625" customWidth="1"/>
    <col min="1279" max="1279" width="14.85546875" customWidth="1"/>
    <col min="1522" max="1522" width="57.28515625" customWidth="1"/>
    <col min="1523" max="1523" width="6.5703125" customWidth="1"/>
    <col min="1524" max="1524" width="32.28515625" customWidth="1"/>
    <col min="1525" max="1525" width="20.140625" bestFit="1" customWidth="1"/>
    <col min="1526" max="1526" width="17.140625" customWidth="1"/>
    <col min="1527" max="1527" width="16.140625" customWidth="1"/>
    <col min="1528" max="1528" width="22.85546875" customWidth="1"/>
    <col min="1529" max="1529" width="29.140625" customWidth="1"/>
    <col min="1530" max="1530" width="13.85546875" customWidth="1"/>
    <col min="1533" max="1533" width="12.5703125" customWidth="1"/>
    <col min="1534" max="1534" width="12.140625" customWidth="1"/>
    <col min="1535" max="1535" width="14.85546875" customWidth="1"/>
    <col min="1778" max="1778" width="57.28515625" customWidth="1"/>
    <col min="1779" max="1779" width="6.5703125" customWidth="1"/>
    <col min="1780" max="1780" width="32.28515625" customWidth="1"/>
    <col min="1781" max="1781" width="20.140625" bestFit="1" customWidth="1"/>
    <col min="1782" max="1782" width="17.140625" customWidth="1"/>
    <col min="1783" max="1783" width="16.140625" customWidth="1"/>
    <col min="1784" max="1784" width="22.85546875" customWidth="1"/>
    <col min="1785" max="1785" width="29.140625" customWidth="1"/>
    <col min="1786" max="1786" width="13.85546875" customWidth="1"/>
    <col min="1789" max="1789" width="12.5703125" customWidth="1"/>
    <col min="1790" max="1790" width="12.140625" customWidth="1"/>
    <col min="1791" max="1791" width="14.85546875" customWidth="1"/>
    <col min="2034" max="2034" width="57.28515625" customWidth="1"/>
    <col min="2035" max="2035" width="6.5703125" customWidth="1"/>
    <col min="2036" max="2036" width="32.28515625" customWidth="1"/>
    <col min="2037" max="2037" width="20.140625" bestFit="1" customWidth="1"/>
    <col min="2038" max="2038" width="17.140625" customWidth="1"/>
    <col min="2039" max="2039" width="16.140625" customWidth="1"/>
    <col min="2040" max="2040" width="22.85546875" customWidth="1"/>
    <col min="2041" max="2041" width="29.140625" customWidth="1"/>
    <col min="2042" max="2042" width="13.85546875" customWidth="1"/>
    <col min="2045" max="2045" width="12.5703125" customWidth="1"/>
    <col min="2046" max="2046" width="12.140625" customWidth="1"/>
    <col min="2047" max="2047" width="14.85546875" customWidth="1"/>
    <col min="2290" max="2290" width="57.28515625" customWidth="1"/>
    <col min="2291" max="2291" width="6.5703125" customWidth="1"/>
    <col min="2292" max="2292" width="32.28515625" customWidth="1"/>
    <col min="2293" max="2293" width="20.140625" bestFit="1" customWidth="1"/>
    <col min="2294" max="2294" width="17.140625" customWidth="1"/>
    <col min="2295" max="2295" width="16.140625" customWidth="1"/>
    <col min="2296" max="2296" width="22.85546875" customWidth="1"/>
    <col min="2297" max="2297" width="29.140625" customWidth="1"/>
    <col min="2298" max="2298" width="13.85546875" customWidth="1"/>
    <col min="2301" max="2301" width="12.5703125" customWidth="1"/>
    <col min="2302" max="2302" width="12.140625" customWidth="1"/>
    <col min="2303" max="2303" width="14.85546875" customWidth="1"/>
    <col min="2546" max="2546" width="57.28515625" customWidth="1"/>
    <col min="2547" max="2547" width="6.5703125" customWidth="1"/>
    <col min="2548" max="2548" width="32.28515625" customWidth="1"/>
    <col min="2549" max="2549" width="20.140625" bestFit="1" customWidth="1"/>
    <col min="2550" max="2550" width="17.140625" customWidth="1"/>
    <col min="2551" max="2551" width="16.140625" customWidth="1"/>
    <col min="2552" max="2552" width="22.85546875" customWidth="1"/>
    <col min="2553" max="2553" width="29.140625" customWidth="1"/>
    <col min="2554" max="2554" width="13.85546875" customWidth="1"/>
    <col min="2557" max="2557" width="12.5703125" customWidth="1"/>
    <col min="2558" max="2558" width="12.140625" customWidth="1"/>
    <col min="2559" max="2559" width="14.85546875" customWidth="1"/>
    <col min="2802" max="2802" width="57.28515625" customWidth="1"/>
    <col min="2803" max="2803" width="6.5703125" customWidth="1"/>
    <col min="2804" max="2804" width="32.28515625" customWidth="1"/>
    <col min="2805" max="2805" width="20.140625" bestFit="1" customWidth="1"/>
    <col min="2806" max="2806" width="17.140625" customWidth="1"/>
    <col min="2807" max="2807" width="16.140625" customWidth="1"/>
    <col min="2808" max="2808" width="22.85546875" customWidth="1"/>
    <col min="2809" max="2809" width="29.140625" customWidth="1"/>
    <col min="2810" max="2810" width="13.85546875" customWidth="1"/>
    <col min="2813" max="2813" width="12.5703125" customWidth="1"/>
    <col min="2814" max="2814" width="12.140625" customWidth="1"/>
    <col min="2815" max="2815" width="14.85546875" customWidth="1"/>
    <col min="3058" max="3058" width="57.28515625" customWidth="1"/>
    <col min="3059" max="3059" width="6.5703125" customWidth="1"/>
    <col min="3060" max="3060" width="32.28515625" customWidth="1"/>
    <col min="3061" max="3061" width="20.140625" bestFit="1" customWidth="1"/>
    <col min="3062" max="3062" width="17.140625" customWidth="1"/>
    <col min="3063" max="3063" width="16.140625" customWidth="1"/>
    <col min="3064" max="3064" width="22.85546875" customWidth="1"/>
    <col min="3065" max="3065" width="29.140625" customWidth="1"/>
    <col min="3066" max="3066" width="13.85546875" customWidth="1"/>
    <col min="3069" max="3069" width="12.5703125" customWidth="1"/>
    <col min="3070" max="3070" width="12.140625" customWidth="1"/>
    <col min="3071" max="3071" width="14.85546875" customWidth="1"/>
    <col min="3314" max="3314" width="57.28515625" customWidth="1"/>
    <col min="3315" max="3315" width="6.5703125" customWidth="1"/>
    <col min="3316" max="3316" width="32.28515625" customWidth="1"/>
    <col min="3317" max="3317" width="20.140625" bestFit="1" customWidth="1"/>
    <col min="3318" max="3318" width="17.140625" customWidth="1"/>
    <col min="3319" max="3319" width="16.140625" customWidth="1"/>
    <col min="3320" max="3320" width="22.85546875" customWidth="1"/>
    <col min="3321" max="3321" width="29.140625" customWidth="1"/>
    <col min="3322" max="3322" width="13.85546875" customWidth="1"/>
    <col min="3325" max="3325" width="12.5703125" customWidth="1"/>
    <col min="3326" max="3326" width="12.140625" customWidth="1"/>
    <col min="3327" max="3327" width="14.85546875" customWidth="1"/>
    <col min="3570" max="3570" width="57.28515625" customWidth="1"/>
    <col min="3571" max="3571" width="6.5703125" customWidth="1"/>
    <col min="3572" max="3572" width="32.28515625" customWidth="1"/>
    <col min="3573" max="3573" width="20.140625" bestFit="1" customWidth="1"/>
    <col min="3574" max="3574" width="17.140625" customWidth="1"/>
    <col min="3575" max="3575" width="16.140625" customWidth="1"/>
    <col min="3576" max="3576" width="22.85546875" customWidth="1"/>
    <col min="3577" max="3577" width="29.140625" customWidth="1"/>
    <col min="3578" max="3578" width="13.85546875" customWidth="1"/>
    <col min="3581" max="3581" width="12.5703125" customWidth="1"/>
    <col min="3582" max="3582" width="12.140625" customWidth="1"/>
    <col min="3583" max="3583" width="14.85546875" customWidth="1"/>
    <col min="3826" max="3826" width="57.28515625" customWidth="1"/>
    <col min="3827" max="3827" width="6.5703125" customWidth="1"/>
    <col min="3828" max="3828" width="32.28515625" customWidth="1"/>
    <col min="3829" max="3829" width="20.140625" bestFit="1" customWidth="1"/>
    <col min="3830" max="3830" width="17.140625" customWidth="1"/>
    <col min="3831" max="3831" width="16.140625" customWidth="1"/>
    <col min="3832" max="3832" width="22.85546875" customWidth="1"/>
    <col min="3833" max="3833" width="29.140625" customWidth="1"/>
    <col min="3834" max="3834" width="13.85546875" customWidth="1"/>
    <col min="3837" max="3837" width="12.5703125" customWidth="1"/>
    <col min="3838" max="3838" width="12.140625" customWidth="1"/>
    <col min="3839" max="3839" width="14.85546875" customWidth="1"/>
    <col min="4082" max="4082" width="57.28515625" customWidth="1"/>
    <col min="4083" max="4083" width="6.5703125" customWidth="1"/>
    <col min="4084" max="4084" width="32.28515625" customWidth="1"/>
    <col min="4085" max="4085" width="20.140625" bestFit="1" customWidth="1"/>
    <col min="4086" max="4086" width="17.140625" customWidth="1"/>
    <col min="4087" max="4087" width="16.140625" customWidth="1"/>
    <col min="4088" max="4088" width="22.85546875" customWidth="1"/>
    <col min="4089" max="4089" width="29.140625" customWidth="1"/>
    <col min="4090" max="4090" width="13.85546875" customWidth="1"/>
    <col min="4093" max="4093" width="12.5703125" customWidth="1"/>
    <col min="4094" max="4094" width="12.140625" customWidth="1"/>
    <col min="4095" max="4095" width="14.85546875" customWidth="1"/>
    <col min="4338" max="4338" width="57.28515625" customWidth="1"/>
    <col min="4339" max="4339" width="6.5703125" customWidth="1"/>
    <col min="4340" max="4340" width="32.28515625" customWidth="1"/>
    <col min="4341" max="4341" width="20.140625" bestFit="1" customWidth="1"/>
    <col min="4342" max="4342" width="17.140625" customWidth="1"/>
    <col min="4343" max="4343" width="16.140625" customWidth="1"/>
    <col min="4344" max="4344" width="22.85546875" customWidth="1"/>
    <col min="4345" max="4345" width="29.140625" customWidth="1"/>
    <col min="4346" max="4346" width="13.85546875" customWidth="1"/>
    <col min="4349" max="4349" width="12.5703125" customWidth="1"/>
    <col min="4350" max="4350" width="12.140625" customWidth="1"/>
    <col min="4351" max="4351" width="14.85546875" customWidth="1"/>
    <col min="4594" max="4594" width="57.28515625" customWidth="1"/>
    <col min="4595" max="4595" width="6.5703125" customWidth="1"/>
    <col min="4596" max="4596" width="32.28515625" customWidth="1"/>
    <col min="4597" max="4597" width="20.140625" bestFit="1" customWidth="1"/>
    <col min="4598" max="4598" width="17.140625" customWidth="1"/>
    <col min="4599" max="4599" width="16.140625" customWidth="1"/>
    <col min="4600" max="4600" width="22.85546875" customWidth="1"/>
    <col min="4601" max="4601" width="29.140625" customWidth="1"/>
    <col min="4602" max="4602" width="13.85546875" customWidth="1"/>
    <col min="4605" max="4605" width="12.5703125" customWidth="1"/>
    <col min="4606" max="4606" width="12.140625" customWidth="1"/>
    <col min="4607" max="4607" width="14.85546875" customWidth="1"/>
    <col min="4850" max="4850" width="57.28515625" customWidth="1"/>
    <col min="4851" max="4851" width="6.5703125" customWidth="1"/>
    <col min="4852" max="4852" width="32.28515625" customWidth="1"/>
    <col min="4853" max="4853" width="20.140625" bestFit="1" customWidth="1"/>
    <col min="4854" max="4854" width="17.140625" customWidth="1"/>
    <col min="4855" max="4855" width="16.140625" customWidth="1"/>
    <col min="4856" max="4856" width="22.85546875" customWidth="1"/>
    <col min="4857" max="4857" width="29.140625" customWidth="1"/>
    <col min="4858" max="4858" width="13.85546875" customWidth="1"/>
    <col min="4861" max="4861" width="12.5703125" customWidth="1"/>
    <col min="4862" max="4862" width="12.140625" customWidth="1"/>
    <col min="4863" max="4863" width="14.85546875" customWidth="1"/>
    <col min="5106" max="5106" width="57.28515625" customWidth="1"/>
    <col min="5107" max="5107" width="6.5703125" customWidth="1"/>
    <col min="5108" max="5108" width="32.28515625" customWidth="1"/>
    <col min="5109" max="5109" width="20.140625" bestFit="1" customWidth="1"/>
    <col min="5110" max="5110" width="17.140625" customWidth="1"/>
    <col min="5111" max="5111" width="16.140625" customWidth="1"/>
    <col min="5112" max="5112" width="22.85546875" customWidth="1"/>
    <col min="5113" max="5113" width="29.140625" customWidth="1"/>
    <col min="5114" max="5114" width="13.85546875" customWidth="1"/>
    <col min="5117" max="5117" width="12.5703125" customWidth="1"/>
    <col min="5118" max="5118" width="12.140625" customWidth="1"/>
    <col min="5119" max="5119" width="14.85546875" customWidth="1"/>
    <col min="5362" max="5362" width="57.28515625" customWidth="1"/>
    <col min="5363" max="5363" width="6.5703125" customWidth="1"/>
    <col min="5364" max="5364" width="32.28515625" customWidth="1"/>
    <col min="5365" max="5365" width="20.140625" bestFit="1" customWidth="1"/>
    <col min="5366" max="5366" width="17.140625" customWidth="1"/>
    <col min="5367" max="5367" width="16.140625" customWidth="1"/>
    <col min="5368" max="5368" width="22.85546875" customWidth="1"/>
    <col min="5369" max="5369" width="29.140625" customWidth="1"/>
    <col min="5370" max="5370" width="13.85546875" customWidth="1"/>
    <col min="5373" max="5373" width="12.5703125" customWidth="1"/>
    <col min="5374" max="5374" width="12.140625" customWidth="1"/>
    <col min="5375" max="5375" width="14.85546875" customWidth="1"/>
    <col min="5618" max="5618" width="57.28515625" customWidth="1"/>
    <col min="5619" max="5619" width="6.5703125" customWidth="1"/>
    <col min="5620" max="5620" width="32.28515625" customWidth="1"/>
    <col min="5621" max="5621" width="20.140625" bestFit="1" customWidth="1"/>
    <col min="5622" max="5622" width="17.140625" customWidth="1"/>
    <col min="5623" max="5623" width="16.140625" customWidth="1"/>
    <col min="5624" max="5624" width="22.85546875" customWidth="1"/>
    <col min="5625" max="5625" width="29.140625" customWidth="1"/>
    <col min="5626" max="5626" width="13.85546875" customWidth="1"/>
    <col min="5629" max="5629" width="12.5703125" customWidth="1"/>
    <col min="5630" max="5630" width="12.140625" customWidth="1"/>
    <col min="5631" max="5631" width="14.85546875" customWidth="1"/>
    <col min="5874" max="5874" width="57.28515625" customWidth="1"/>
    <col min="5875" max="5875" width="6.5703125" customWidth="1"/>
    <col min="5876" max="5876" width="32.28515625" customWidth="1"/>
    <col min="5877" max="5877" width="20.140625" bestFit="1" customWidth="1"/>
    <col min="5878" max="5878" width="17.140625" customWidth="1"/>
    <col min="5879" max="5879" width="16.140625" customWidth="1"/>
    <col min="5880" max="5880" width="22.85546875" customWidth="1"/>
    <col min="5881" max="5881" width="29.140625" customWidth="1"/>
    <col min="5882" max="5882" width="13.85546875" customWidth="1"/>
    <col min="5885" max="5885" width="12.5703125" customWidth="1"/>
    <col min="5886" max="5886" width="12.140625" customWidth="1"/>
    <col min="5887" max="5887" width="14.85546875" customWidth="1"/>
    <col min="6130" max="6130" width="57.28515625" customWidth="1"/>
    <col min="6131" max="6131" width="6.5703125" customWidth="1"/>
    <col min="6132" max="6132" width="32.28515625" customWidth="1"/>
    <col min="6133" max="6133" width="20.140625" bestFit="1" customWidth="1"/>
    <col min="6134" max="6134" width="17.140625" customWidth="1"/>
    <col min="6135" max="6135" width="16.140625" customWidth="1"/>
    <col min="6136" max="6136" width="22.85546875" customWidth="1"/>
    <col min="6137" max="6137" width="29.140625" customWidth="1"/>
    <col min="6138" max="6138" width="13.85546875" customWidth="1"/>
    <col min="6141" max="6141" width="12.5703125" customWidth="1"/>
    <col min="6142" max="6142" width="12.140625" customWidth="1"/>
    <col min="6143" max="6143" width="14.85546875" customWidth="1"/>
    <col min="6386" max="6386" width="57.28515625" customWidth="1"/>
    <col min="6387" max="6387" width="6.5703125" customWidth="1"/>
    <col min="6388" max="6388" width="32.28515625" customWidth="1"/>
    <col min="6389" max="6389" width="20.140625" bestFit="1" customWidth="1"/>
    <col min="6390" max="6390" width="17.140625" customWidth="1"/>
    <col min="6391" max="6391" width="16.140625" customWidth="1"/>
    <col min="6392" max="6392" width="22.85546875" customWidth="1"/>
    <col min="6393" max="6393" width="29.140625" customWidth="1"/>
    <col min="6394" max="6394" width="13.85546875" customWidth="1"/>
    <col min="6397" max="6397" width="12.5703125" customWidth="1"/>
    <col min="6398" max="6398" width="12.140625" customWidth="1"/>
    <col min="6399" max="6399" width="14.85546875" customWidth="1"/>
    <col min="6642" max="6642" width="57.28515625" customWidth="1"/>
    <col min="6643" max="6643" width="6.5703125" customWidth="1"/>
    <col min="6644" max="6644" width="32.28515625" customWidth="1"/>
    <col min="6645" max="6645" width="20.140625" bestFit="1" customWidth="1"/>
    <col min="6646" max="6646" width="17.140625" customWidth="1"/>
    <col min="6647" max="6647" width="16.140625" customWidth="1"/>
    <col min="6648" max="6648" width="22.85546875" customWidth="1"/>
    <col min="6649" max="6649" width="29.140625" customWidth="1"/>
    <col min="6650" max="6650" width="13.85546875" customWidth="1"/>
    <col min="6653" max="6653" width="12.5703125" customWidth="1"/>
    <col min="6654" max="6654" width="12.140625" customWidth="1"/>
    <col min="6655" max="6655" width="14.85546875" customWidth="1"/>
    <col min="6898" max="6898" width="57.28515625" customWidth="1"/>
    <col min="6899" max="6899" width="6.5703125" customWidth="1"/>
    <col min="6900" max="6900" width="32.28515625" customWidth="1"/>
    <col min="6901" max="6901" width="20.140625" bestFit="1" customWidth="1"/>
    <col min="6902" max="6902" width="17.140625" customWidth="1"/>
    <col min="6903" max="6903" width="16.140625" customWidth="1"/>
    <col min="6904" max="6904" width="22.85546875" customWidth="1"/>
    <col min="6905" max="6905" width="29.140625" customWidth="1"/>
    <col min="6906" max="6906" width="13.85546875" customWidth="1"/>
    <col min="6909" max="6909" width="12.5703125" customWidth="1"/>
    <col min="6910" max="6910" width="12.140625" customWidth="1"/>
    <col min="6911" max="6911" width="14.85546875" customWidth="1"/>
    <col min="7154" max="7154" width="57.28515625" customWidth="1"/>
    <col min="7155" max="7155" width="6.5703125" customWidth="1"/>
    <col min="7156" max="7156" width="32.28515625" customWidth="1"/>
    <col min="7157" max="7157" width="20.140625" bestFit="1" customWidth="1"/>
    <col min="7158" max="7158" width="17.140625" customWidth="1"/>
    <col min="7159" max="7159" width="16.140625" customWidth="1"/>
    <col min="7160" max="7160" width="22.85546875" customWidth="1"/>
    <col min="7161" max="7161" width="29.140625" customWidth="1"/>
    <col min="7162" max="7162" width="13.85546875" customWidth="1"/>
    <col min="7165" max="7165" width="12.5703125" customWidth="1"/>
    <col min="7166" max="7166" width="12.140625" customWidth="1"/>
    <col min="7167" max="7167" width="14.85546875" customWidth="1"/>
    <col min="7410" max="7410" width="57.28515625" customWidth="1"/>
    <col min="7411" max="7411" width="6.5703125" customWidth="1"/>
    <col min="7412" max="7412" width="32.28515625" customWidth="1"/>
    <col min="7413" max="7413" width="20.140625" bestFit="1" customWidth="1"/>
    <col min="7414" max="7414" width="17.140625" customWidth="1"/>
    <col min="7415" max="7415" width="16.140625" customWidth="1"/>
    <col min="7416" max="7416" width="22.85546875" customWidth="1"/>
    <col min="7417" max="7417" width="29.140625" customWidth="1"/>
    <col min="7418" max="7418" width="13.85546875" customWidth="1"/>
    <col min="7421" max="7421" width="12.5703125" customWidth="1"/>
    <col min="7422" max="7422" width="12.140625" customWidth="1"/>
    <col min="7423" max="7423" width="14.85546875" customWidth="1"/>
    <col min="7666" max="7666" width="57.28515625" customWidth="1"/>
    <col min="7667" max="7667" width="6.5703125" customWidth="1"/>
    <col min="7668" max="7668" width="32.28515625" customWidth="1"/>
    <col min="7669" max="7669" width="20.140625" bestFit="1" customWidth="1"/>
    <col min="7670" max="7670" width="17.140625" customWidth="1"/>
    <col min="7671" max="7671" width="16.140625" customWidth="1"/>
    <col min="7672" max="7672" width="22.85546875" customWidth="1"/>
    <col min="7673" max="7673" width="29.140625" customWidth="1"/>
    <col min="7674" max="7674" width="13.85546875" customWidth="1"/>
    <col min="7677" max="7677" width="12.5703125" customWidth="1"/>
    <col min="7678" max="7678" width="12.140625" customWidth="1"/>
    <col min="7679" max="7679" width="14.85546875" customWidth="1"/>
    <col min="7922" max="7922" width="57.28515625" customWidth="1"/>
    <col min="7923" max="7923" width="6.5703125" customWidth="1"/>
    <col min="7924" max="7924" width="32.28515625" customWidth="1"/>
    <col min="7925" max="7925" width="20.140625" bestFit="1" customWidth="1"/>
    <col min="7926" max="7926" width="17.140625" customWidth="1"/>
    <col min="7927" max="7927" width="16.140625" customWidth="1"/>
    <col min="7928" max="7928" width="22.85546875" customWidth="1"/>
    <col min="7929" max="7929" width="29.140625" customWidth="1"/>
    <col min="7930" max="7930" width="13.85546875" customWidth="1"/>
    <col min="7933" max="7933" width="12.5703125" customWidth="1"/>
    <col min="7934" max="7934" width="12.140625" customWidth="1"/>
    <col min="7935" max="7935" width="14.85546875" customWidth="1"/>
    <col min="8178" max="8178" width="57.28515625" customWidth="1"/>
    <col min="8179" max="8179" width="6.5703125" customWidth="1"/>
    <col min="8180" max="8180" width="32.28515625" customWidth="1"/>
    <col min="8181" max="8181" width="20.140625" bestFit="1" customWidth="1"/>
    <col min="8182" max="8182" width="17.140625" customWidth="1"/>
    <col min="8183" max="8183" width="16.140625" customWidth="1"/>
    <col min="8184" max="8184" width="22.85546875" customWidth="1"/>
    <col min="8185" max="8185" width="29.140625" customWidth="1"/>
    <col min="8186" max="8186" width="13.85546875" customWidth="1"/>
    <col min="8189" max="8189" width="12.5703125" customWidth="1"/>
    <col min="8190" max="8190" width="12.140625" customWidth="1"/>
    <col min="8191" max="8191" width="14.85546875" customWidth="1"/>
    <col min="8434" max="8434" width="57.28515625" customWidth="1"/>
    <col min="8435" max="8435" width="6.5703125" customWidth="1"/>
    <col min="8436" max="8436" width="32.28515625" customWidth="1"/>
    <col min="8437" max="8437" width="20.140625" bestFit="1" customWidth="1"/>
    <col min="8438" max="8438" width="17.140625" customWidth="1"/>
    <col min="8439" max="8439" width="16.140625" customWidth="1"/>
    <col min="8440" max="8440" width="22.85546875" customWidth="1"/>
    <col min="8441" max="8441" width="29.140625" customWidth="1"/>
    <col min="8442" max="8442" width="13.85546875" customWidth="1"/>
    <col min="8445" max="8445" width="12.5703125" customWidth="1"/>
    <col min="8446" max="8446" width="12.140625" customWidth="1"/>
    <col min="8447" max="8447" width="14.85546875" customWidth="1"/>
    <col min="8690" max="8690" width="57.28515625" customWidth="1"/>
    <col min="8691" max="8691" width="6.5703125" customWidth="1"/>
    <col min="8692" max="8692" width="32.28515625" customWidth="1"/>
    <col min="8693" max="8693" width="20.140625" bestFit="1" customWidth="1"/>
    <col min="8694" max="8694" width="17.140625" customWidth="1"/>
    <col min="8695" max="8695" width="16.140625" customWidth="1"/>
    <col min="8696" max="8696" width="22.85546875" customWidth="1"/>
    <col min="8697" max="8697" width="29.140625" customWidth="1"/>
    <col min="8698" max="8698" width="13.85546875" customWidth="1"/>
    <col min="8701" max="8701" width="12.5703125" customWidth="1"/>
    <col min="8702" max="8702" width="12.140625" customWidth="1"/>
    <col min="8703" max="8703" width="14.85546875" customWidth="1"/>
    <col min="8946" max="8946" width="57.28515625" customWidth="1"/>
    <col min="8947" max="8947" width="6.5703125" customWidth="1"/>
    <col min="8948" max="8948" width="32.28515625" customWidth="1"/>
    <col min="8949" max="8949" width="20.140625" bestFit="1" customWidth="1"/>
    <col min="8950" max="8950" width="17.140625" customWidth="1"/>
    <col min="8951" max="8951" width="16.140625" customWidth="1"/>
    <col min="8952" max="8952" width="22.85546875" customWidth="1"/>
    <col min="8953" max="8953" width="29.140625" customWidth="1"/>
    <col min="8954" max="8954" width="13.85546875" customWidth="1"/>
    <col min="8957" max="8957" width="12.5703125" customWidth="1"/>
    <col min="8958" max="8958" width="12.140625" customWidth="1"/>
    <col min="8959" max="8959" width="14.85546875" customWidth="1"/>
    <col min="9202" max="9202" width="57.28515625" customWidth="1"/>
    <col min="9203" max="9203" width="6.5703125" customWidth="1"/>
    <col min="9204" max="9204" width="32.28515625" customWidth="1"/>
    <col min="9205" max="9205" width="20.140625" bestFit="1" customWidth="1"/>
    <col min="9206" max="9206" width="17.140625" customWidth="1"/>
    <col min="9207" max="9207" width="16.140625" customWidth="1"/>
    <col min="9208" max="9208" width="22.85546875" customWidth="1"/>
    <col min="9209" max="9209" width="29.140625" customWidth="1"/>
    <col min="9210" max="9210" width="13.85546875" customWidth="1"/>
    <col min="9213" max="9213" width="12.5703125" customWidth="1"/>
    <col min="9214" max="9214" width="12.140625" customWidth="1"/>
    <col min="9215" max="9215" width="14.85546875" customWidth="1"/>
    <col min="9458" max="9458" width="57.28515625" customWidth="1"/>
    <col min="9459" max="9459" width="6.5703125" customWidth="1"/>
    <col min="9460" max="9460" width="32.28515625" customWidth="1"/>
    <col min="9461" max="9461" width="20.140625" bestFit="1" customWidth="1"/>
    <col min="9462" max="9462" width="17.140625" customWidth="1"/>
    <col min="9463" max="9463" width="16.140625" customWidth="1"/>
    <col min="9464" max="9464" width="22.85546875" customWidth="1"/>
    <col min="9465" max="9465" width="29.140625" customWidth="1"/>
    <col min="9466" max="9466" width="13.85546875" customWidth="1"/>
    <col min="9469" max="9469" width="12.5703125" customWidth="1"/>
    <col min="9470" max="9470" width="12.140625" customWidth="1"/>
    <col min="9471" max="9471" width="14.85546875" customWidth="1"/>
    <col min="9714" max="9714" width="57.28515625" customWidth="1"/>
    <col min="9715" max="9715" width="6.5703125" customWidth="1"/>
    <col min="9716" max="9716" width="32.28515625" customWidth="1"/>
    <col min="9717" max="9717" width="20.140625" bestFit="1" customWidth="1"/>
    <col min="9718" max="9718" width="17.140625" customWidth="1"/>
    <col min="9719" max="9719" width="16.140625" customWidth="1"/>
    <col min="9720" max="9720" width="22.85546875" customWidth="1"/>
    <col min="9721" max="9721" width="29.140625" customWidth="1"/>
    <col min="9722" max="9722" width="13.85546875" customWidth="1"/>
    <col min="9725" max="9725" width="12.5703125" customWidth="1"/>
    <col min="9726" max="9726" width="12.140625" customWidth="1"/>
    <col min="9727" max="9727" width="14.85546875" customWidth="1"/>
    <col min="9970" max="9970" width="57.28515625" customWidth="1"/>
    <col min="9971" max="9971" width="6.5703125" customWidth="1"/>
    <col min="9972" max="9972" width="32.28515625" customWidth="1"/>
    <col min="9973" max="9973" width="20.140625" bestFit="1" customWidth="1"/>
    <col min="9974" max="9974" width="17.140625" customWidth="1"/>
    <col min="9975" max="9975" width="16.140625" customWidth="1"/>
    <col min="9976" max="9976" width="22.85546875" customWidth="1"/>
    <col min="9977" max="9977" width="29.140625" customWidth="1"/>
    <col min="9978" max="9978" width="13.85546875" customWidth="1"/>
    <col min="9981" max="9981" width="12.5703125" customWidth="1"/>
    <col min="9982" max="9982" width="12.140625" customWidth="1"/>
    <col min="9983" max="9983" width="14.85546875" customWidth="1"/>
    <col min="10226" max="10226" width="57.28515625" customWidth="1"/>
    <col min="10227" max="10227" width="6.5703125" customWidth="1"/>
    <col min="10228" max="10228" width="32.28515625" customWidth="1"/>
    <col min="10229" max="10229" width="20.140625" bestFit="1" customWidth="1"/>
    <col min="10230" max="10230" width="17.140625" customWidth="1"/>
    <col min="10231" max="10231" width="16.140625" customWidth="1"/>
    <col min="10232" max="10232" width="22.85546875" customWidth="1"/>
    <col min="10233" max="10233" width="29.140625" customWidth="1"/>
    <col min="10234" max="10234" width="13.85546875" customWidth="1"/>
    <col min="10237" max="10237" width="12.5703125" customWidth="1"/>
    <col min="10238" max="10238" width="12.140625" customWidth="1"/>
    <col min="10239" max="10239" width="14.85546875" customWidth="1"/>
    <col min="10482" max="10482" width="57.28515625" customWidth="1"/>
    <col min="10483" max="10483" width="6.5703125" customWidth="1"/>
    <col min="10484" max="10484" width="32.28515625" customWidth="1"/>
    <col min="10485" max="10485" width="20.140625" bestFit="1" customWidth="1"/>
    <col min="10486" max="10486" width="17.140625" customWidth="1"/>
    <col min="10487" max="10487" width="16.140625" customWidth="1"/>
    <col min="10488" max="10488" width="22.85546875" customWidth="1"/>
    <col min="10489" max="10489" width="29.140625" customWidth="1"/>
    <col min="10490" max="10490" width="13.85546875" customWidth="1"/>
    <col min="10493" max="10493" width="12.5703125" customWidth="1"/>
    <col min="10494" max="10494" width="12.140625" customWidth="1"/>
    <col min="10495" max="10495" width="14.85546875" customWidth="1"/>
    <col min="10738" max="10738" width="57.28515625" customWidth="1"/>
    <col min="10739" max="10739" width="6.5703125" customWidth="1"/>
    <col min="10740" max="10740" width="32.28515625" customWidth="1"/>
    <col min="10741" max="10741" width="20.140625" bestFit="1" customWidth="1"/>
    <col min="10742" max="10742" width="17.140625" customWidth="1"/>
    <col min="10743" max="10743" width="16.140625" customWidth="1"/>
    <col min="10744" max="10744" width="22.85546875" customWidth="1"/>
    <col min="10745" max="10745" width="29.140625" customWidth="1"/>
    <col min="10746" max="10746" width="13.85546875" customWidth="1"/>
    <col min="10749" max="10749" width="12.5703125" customWidth="1"/>
    <col min="10750" max="10750" width="12.140625" customWidth="1"/>
    <col min="10751" max="10751" width="14.85546875" customWidth="1"/>
    <col min="10994" max="10994" width="57.28515625" customWidth="1"/>
    <col min="10995" max="10995" width="6.5703125" customWidth="1"/>
    <col min="10996" max="10996" width="32.28515625" customWidth="1"/>
    <col min="10997" max="10997" width="20.140625" bestFit="1" customWidth="1"/>
    <col min="10998" max="10998" width="17.140625" customWidth="1"/>
    <col min="10999" max="10999" width="16.140625" customWidth="1"/>
    <col min="11000" max="11000" width="22.85546875" customWidth="1"/>
    <col min="11001" max="11001" width="29.140625" customWidth="1"/>
    <col min="11002" max="11002" width="13.85546875" customWidth="1"/>
    <col min="11005" max="11005" width="12.5703125" customWidth="1"/>
    <col min="11006" max="11006" width="12.140625" customWidth="1"/>
    <col min="11007" max="11007" width="14.85546875" customWidth="1"/>
    <col min="11250" max="11250" width="57.28515625" customWidth="1"/>
    <col min="11251" max="11251" width="6.5703125" customWidth="1"/>
    <col min="11252" max="11252" width="32.28515625" customWidth="1"/>
    <col min="11253" max="11253" width="20.140625" bestFit="1" customWidth="1"/>
    <col min="11254" max="11254" width="17.140625" customWidth="1"/>
    <col min="11255" max="11255" width="16.140625" customWidth="1"/>
    <col min="11256" max="11256" width="22.85546875" customWidth="1"/>
    <col min="11257" max="11257" width="29.140625" customWidth="1"/>
    <col min="11258" max="11258" width="13.85546875" customWidth="1"/>
    <col min="11261" max="11261" width="12.5703125" customWidth="1"/>
    <col min="11262" max="11262" width="12.140625" customWidth="1"/>
    <col min="11263" max="11263" width="14.85546875" customWidth="1"/>
    <col min="11506" max="11506" width="57.28515625" customWidth="1"/>
    <col min="11507" max="11507" width="6.5703125" customWidth="1"/>
    <col min="11508" max="11508" width="32.28515625" customWidth="1"/>
    <col min="11509" max="11509" width="20.140625" bestFit="1" customWidth="1"/>
    <col min="11510" max="11510" width="17.140625" customWidth="1"/>
    <col min="11511" max="11511" width="16.140625" customWidth="1"/>
    <col min="11512" max="11512" width="22.85546875" customWidth="1"/>
    <col min="11513" max="11513" width="29.140625" customWidth="1"/>
    <col min="11514" max="11514" width="13.85546875" customWidth="1"/>
    <col min="11517" max="11517" width="12.5703125" customWidth="1"/>
    <col min="11518" max="11518" width="12.140625" customWidth="1"/>
    <col min="11519" max="11519" width="14.85546875" customWidth="1"/>
    <col min="11762" max="11762" width="57.28515625" customWidth="1"/>
    <col min="11763" max="11763" width="6.5703125" customWidth="1"/>
    <col min="11764" max="11764" width="32.28515625" customWidth="1"/>
    <col min="11765" max="11765" width="20.140625" bestFit="1" customWidth="1"/>
    <col min="11766" max="11766" width="17.140625" customWidth="1"/>
    <col min="11767" max="11767" width="16.140625" customWidth="1"/>
    <col min="11768" max="11768" width="22.85546875" customWidth="1"/>
    <col min="11769" max="11769" width="29.140625" customWidth="1"/>
    <col min="11770" max="11770" width="13.85546875" customWidth="1"/>
    <col min="11773" max="11773" width="12.5703125" customWidth="1"/>
    <col min="11774" max="11774" width="12.140625" customWidth="1"/>
    <col min="11775" max="11775" width="14.85546875" customWidth="1"/>
    <col min="12018" max="12018" width="57.28515625" customWidth="1"/>
    <col min="12019" max="12019" width="6.5703125" customWidth="1"/>
    <col min="12020" max="12020" width="32.28515625" customWidth="1"/>
    <col min="12021" max="12021" width="20.140625" bestFit="1" customWidth="1"/>
    <col min="12022" max="12022" width="17.140625" customWidth="1"/>
    <col min="12023" max="12023" width="16.140625" customWidth="1"/>
    <col min="12024" max="12024" width="22.85546875" customWidth="1"/>
    <col min="12025" max="12025" width="29.140625" customWidth="1"/>
    <col min="12026" max="12026" width="13.85546875" customWidth="1"/>
    <col min="12029" max="12029" width="12.5703125" customWidth="1"/>
    <col min="12030" max="12030" width="12.140625" customWidth="1"/>
    <col min="12031" max="12031" width="14.85546875" customWidth="1"/>
    <col min="12274" max="12274" width="57.28515625" customWidth="1"/>
    <col min="12275" max="12275" width="6.5703125" customWidth="1"/>
    <col min="12276" max="12276" width="32.28515625" customWidth="1"/>
    <col min="12277" max="12277" width="20.140625" bestFit="1" customWidth="1"/>
    <col min="12278" max="12278" width="17.140625" customWidth="1"/>
    <col min="12279" max="12279" width="16.140625" customWidth="1"/>
    <col min="12280" max="12280" width="22.85546875" customWidth="1"/>
    <col min="12281" max="12281" width="29.140625" customWidth="1"/>
    <col min="12282" max="12282" width="13.85546875" customWidth="1"/>
    <col min="12285" max="12285" width="12.5703125" customWidth="1"/>
    <col min="12286" max="12286" width="12.140625" customWidth="1"/>
    <col min="12287" max="12287" width="14.85546875" customWidth="1"/>
    <col min="12530" max="12530" width="57.28515625" customWidth="1"/>
    <col min="12531" max="12531" width="6.5703125" customWidth="1"/>
    <col min="12532" max="12532" width="32.28515625" customWidth="1"/>
    <col min="12533" max="12533" width="20.140625" bestFit="1" customWidth="1"/>
    <col min="12534" max="12534" width="17.140625" customWidth="1"/>
    <col min="12535" max="12535" width="16.140625" customWidth="1"/>
    <col min="12536" max="12536" width="22.85546875" customWidth="1"/>
    <col min="12537" max="12537" width="29.140625" customWidth="1"/>
    <col min="12538" max="12538" width="13.85546875" customWidth="1"/>
    <col min="12541" max="12541" width="12.5703125" customWidth="1"/>
    <col min="12542" max="12542" width="12.140625" customWidth="1"/>
    <col min="12543" max="12543" width="14.85546875" customWidth="1"/>
    <col min="12786" max="12786" width="57.28515625" customWidth="1"/>
    <col min="12787" max="12787" width="6.5703125" customWidth="1"/>
    <col min="12788" max="12788" width="32.28515625" customWidth="1"/>
    <col min="12789" max="12789" width="20.140625" bestFit="1" customWidth="1"/>
    <col min="12790" max="12790" width="17.140625" customWidth="1"/>
    <col min="12791" max="12791" width="16.140625" customWidth="1"/>
    <col min="12792" max="12792" width="22.85546875" customWidth="1"/>
    <col min="12793" max="12793" width="29.140625" customWidth="1"/>
    <col min="12794" max="12794" width="13.85546875" customWidth="1"/>
    <col min="12797" max="12797" width="12.5703125" customWidth="1"/>
    <col min="12798" max="12798" width="12.140625" customWidth="1"/>
    <col min="12799" max="12799" width="14.85546875" customWidth="1"/>
    <col min="13042" max="13042" width="57.28515625" customWidth="1"/>
    <col min="13043" max="13043" width="6.5703125" customWidth="1"/>
    <col min="13044" max="13044" width="32.28515625" customWidth="1"/>
    <col min="13045" max="13045" width="20.140625" bestFit="1" customWidth="1"/>
    <col min="13046" max="13046" width="17.140625" customWidth="1"/>
    <col min="13047" max="13047" width="16.140625" customWidth="1"/>
    <col min="13048" max="13048" width="22.85546875" customWidth="1"/>
    <col min="13049" max="13049" width="29.140625" customWidth="1"/>
    <col min="13050" max="13050" width="13.85546875" customWidth="1"/>
    <col min="13053" max="13053" width="12.5703125" customWidth="1"/>
    <col min="13054" max="13054" width="12.140625" customWidth="1"/>
    <col min="13055" max="13055" width="14.85546875" customWidth="1"/>
    <col min="13298" max="13298" width="57.28515625" customWidth="1"/>
    <col min="13299" max="13299" width="6.5703125" customWidth="1"/>
    <col min="13300" max="13300" width="32.28515625" customWidth="1"/>
    <col min="13301" max="13301" width="20.140625" bestFit="1" customWidth="1"/>
    <col min="13302" max="13302" width="17.140625" customWidth="1"/>
    <col min="13303" max="13303" width="16.140625" customWidth="1"/>
    <col min="13304" max="13304" width="22.85546875" customWidth="1"/>
    <col min="13305" max="13305" width="29.140625" customWidth="1"/>
    <col min="13306" max="13306" width="13.85546875" customWidth="1"/>
    <col min="13309" max="13309" width="12.5703125" customWidth="1"/>
    <col min="13310" max="13310" width="12.140625" customWidth="1"/>
    <col min="13311" max="13311" width="14.85546875" customWidth="1"/>
    <col min="13554" max="13554" width="57.28515625" customWidth="1"/>
    <col min="13555" max="13555" width="6.5703125" customWidth="1"/>
    <col min="13556" max="13556" width="32.28515625" customWidth="1"/>
    <col min="13557" max="13557" width="20.140625" bestFit="1" customWidth="1"/>
    <col min="13558" max="13558" width="17.140625" customWidth="1"/>
    <col min="13559" max="13559" width="16.140625" customWidth="1"/>
    <col min="13560" max="13560" width="22.85546875" customWidth="1"/>
    <col min="13561" max="13561" width="29.140625" customWidth="1"/>
    <col min="13562" max="13562" width="13.85546875" customWidth="1"/>
    <col min="13565" max="13565" width="12.5703125" customWidth="1"/>
    <col min="13566" max="13566" width="12.140625" customWidth="1"/>
    <col min="13567" max="13567" width="14.85546875" customWidth="1"/>
    <col min="13810" max="13810" width="57.28515625" customWidth="1"/>
    <col min="13811" max="13811" width="6.5703125" customWidth="1"/>
    <col min="13812" max="13812" width="32.28515625" customWidth="1"/>
    <col min="13813" max="13813" width="20.140625" bestFit="1" customWidth="1"/>
    <col min="13814" max="13814" width="17.140625" customWidth="1"/>
    <col min="13815" max="13815" width="16.140625" customWidth="1"/>
    <col min="13816" max="13816" width="22.85546875" customWidth="1"/>
    <col min="13817" max="13817" width="29.140625" customWidth="1"/>
    <col min="13818" max="13818" width="13.85546875" customWidth="1"/>
    <col min="13821" max="13821" width="12.5703125" customWidth="1"/>
    <col min="13822" max="13822" width="12.140625" customWidth="1"/>
    <col min="13823" max="13823" width="14.85546875" customWidth="1"/>
    <col min="14066" max="14066" width="57.28515625" customWidth="1"/>
    <col min="14067" max="14067" width="6.5703125" customWidth="1"/>
    <col min="14068" max="14068" width="32.28515625" customWidth="1"/>
    <col min="14069" max="14069" width="20.140625" bestFit="1" customWidth="1"/>
    <col min="14070" max="14070" width="17.140625" customWidth="1"/>
    <col min="14071" max="14071" width="16.140625" customWidth="1"/>
    <col min="14072" max="14072" width="22.85546875" customWidth="1"/>
    <col min="14073" max="14073" width="29.140625" customWidth="1"/>
    <col min="14074" max="14074" width="13.85546875" customWidth="1"/>
    <col min="14077" max="14077" width="12.5703125" customWidth="1"/>
    <col min="14078" max="14078" width="12.140625" customWidth="1"/>
    <col min="14079" max="14079" width="14.85546875" customWidth="1"/>
    <col min="14322" max="14322" width="57.28515625" customWidth="1"/>
    <col min="14323" max="14323" width="6.5703125" customWidth="1"/>
    <col min="14324" max="14324" width="32.28515625" customWidth="1"/>
    <col min="14325" max="14325" width="20.140625" bestFit="1" customWidth="1"/>
    <col min="14326" max="14326" width="17.140625" customWidth="1"/>
    <col min="14327" max="14327" width="16.140625" customWidth="1"/>
    <col min="14328" max="14328" width="22.85546875" customWidth="1"/>
    <col min="14329" max="14329" width="29.140625" customWidth="1"/>
    <col min="14330" max="14330" width="13.85546875" customWidth="1"/>
    <col min="14333" max="14333" width="12.5703125" customWidth="1"/>
    <col min="14334" max="14334" width="12.140625" customWidth="1"/>
    <col min="14335" max="14335" width="14.85546875" customWidth="1"/>
    <col min="14578" max="14578" width="57.28515625" customWidth="1"/>
    <col min="14579" max="14579" width="6.5703125" customWidth="1"/>
    <col min="14580" max="14580" width="32.28515625" customWidth="1"/>
    <col min="14581" max="14581" width="20.140625" bestFit="1" customWidth="1"/>
    <col min="14582" max="14582" width="17.140625" customWidth="1"/>
    <col min="14583" max="14583" width="16.140625" customWidth="1"/>
    <col min="14584" max="14584" width="22.85546875" customWidth="1"/>
    <col min="14585" max="14585" width="29.140625" customWidth="1"/>
    <col min="14586" max="14586" width="13.85546875" customWidth="1"/>
    <col min="14589" max="14589" width="12.5703125" customWidth="1"/>
    <col min="14590" max="14590" width="12.140625" customWidth="1"/>
    <col min="14591" max="14591" width="14.85546875" customWidth="1"/>
    <col min="14834" max="14834" width="57.28515625" customWidth="1"/>
    <col min="14835" max="14835" width="6.5703125" customWidth="1"/>
    <col min="14836" max="14836" width="32.28515625" customWidth="1"/>
    <col min="14837" max="14837" width="20.140625" bestFit="1" customWidth="1"/>
    <col min="14838" max="14838" width="17.140625" customWidth="1"/>
    <col min="14839" max="14839" width="16.140625" customWidth="1"/>
    <col min="14840" max="14840" width="22.85546875" customWidth="1"/>
    <col min="14841" max="14841" width="29.140625" customWidth="1"/>
    <col min="14842" max="14842" width="13.85546875" customWidth="1"/>
    <col min="14845" max="14845" width="12.5703125" customWidth="1"/>
    <col min="14846" max="14846" width="12.140625" customWidth="1"/>
    <col min="14847" max="14847" width="14.85546875" customWidth="1"/>
    <col min="15090" max="15090" width="57.28515625" customWidth="1"/>
    <col min="15091" max="15091" width="6.5703125" customWidth="1"/>
    <col min="15092" max="15092" width="32.28515625" customWidth="1"/>
    <col min="15093" max="15093" width="20.140625" bestFit="1" customWidth="1"/>
    <col min="15094" max="15094" width="17.140625" customWidth="1"/>
    <col min="15095" max="15095" width="16.140625" customWidth="1"/>
    <col min="15096" max="15096" width="22.85546875" customWidth="1"/>
    <col min="15097" max="15097" width="29.140625" customWidth="1"/>
    <col min="15098" max="15098" width="13.85546875" customWidth="1"/>
    <col min="15101" max="15101" width="12.5703125" customWidth="1"/>
    <col min="15102" max="15102" width="12.140625" customWidth="1"/>
    <col min="15103" max="15103" width="14.85546875" customWidth="1"/>
    <col min="15346" max="15346" width="57.28515625" customWidth="1"/>
    <col min="15347" max="15347" width="6.5703125" customWidth="1"/>
    <col min="15348" max="15348" width="32.28515625" customWidth="1"/>
    <col min="15349" max="15349" width="20.140625" bestFit="1" customWidth="1"/>
    <col min="15350" max="15350" width="17.140625" customWidth="1"/>
    <col min="15351" max="15351" width="16.140625" customWidth="1"/>
    <col min="15352" max="15352" width="22.85546875" customWidth="1"/>
    <col min="15353" max="15353" width="29.140625" customWidth="1"/>
    <col min="15354" max="15354" width="13.85546875" customWidth="1"/>
    <col min="15357" max="15357" width="12.5703125" customWidth="1"/>
    <col min="15358" max="15358" width="12.140625" customWidth="1"/>
    <col min="15359" max="15359" width="14.85546875" customWidth="1"/>
    <col min="15602" max="15602" width="57.28515625" customWidth="1"/>
    <col min="15603" max="15603" width="6.5703125" customWidth="1"/>
    <col min="15604" max="15604" width="32.28515625" customWidth="1"/>
    <col min="15605" max="15605" width="20.140625" bestFit="1" customWidth="1"/>
    <col min="15606" max="15606" width="17.140625" customWidth="1"/>
    <col min="15607" max="15607" width="16.140625" customWidth="1"/>
    <col min="15608" max="15608" width="22.85546875" customWidth="1"/>
    <col min="15609" max="15609" width="29.140625" customWidth="1"/>
    <col min="15610" max="15610" width="13.85546875" customWidth="1"/>
    <col min="15613" max="15613" width="12.5703125" customWidth="1"/>
    <col min="15614" max="15614" width="12.140625" customWidth="1"/>
    <col min="15615" max="15615" width="14.85546875" customWidth="1"/>
    <col min="15858" max="15858" width="57.28515625" customWidth="1"/>
    <col min="15859" max="15859" width="6.5703125" customWidth="1"/>
    <col min="15860" max="15860" width="32.28515625" customWidth="1"/>
    <col min="15861" max="15861" width="20.140625" bestFit="1" customWidth="1"/>
    <col min="15862" max="15862" width="17.140625" customWidth="1"/>
    <col min="15863" max="15863" width="16.140625" customWidth="1"/>
    <col min="15864" max="15864" width="22.85546875" customWidth="1"/>
    <col min="15865" max="15865" width="29.140625" customWidth="1"/>
    <col min="15866" max="15866" width="13.85546875" customWidth="1"/>
    <col min="15869" max="15869" width="12.5703125" customWidth="1"/>
    <col min="15870" max="15870" width="12.140625" customWidth="1"/>
    <col min="15871" max="15871" width="14.85546875" customWidth="1"/>
    <col min="16114" max="16114" width="57.28515625" customWidth="1"/>
    <col min="16115" max="16115" width="6.5703125" customWidth="1"/>
    <col min="16116" max="16116" width="32.28515625" customWidth="1"/>
    <col min="16117" max="16117" width="20.140625" bestFit="1" customWidth="1"/>
    <col min="16118" max="16118" width="17.140625" customWidth="1"/>
    <col min="16119" max="16119" width="16.140625" customWidth="1"/>
    <col min="16120" max="16120" width="22.85546875" customWidth="1"/>
    <col min="16121" max="16121" width="29.140625" customWidth="1"/>
    <col min="16122" max="16122" width="13.85546875" customWidth="1"/>
    <col min="16125" max="16125" width="12.5703125" customWidth="1"/>
    <col min="16126" max="16126" width="12.140625" customWidth="1"/>
    <col min="16127" max="16127" width="14.85546875" customWidth="1"/>
  </cols>
  <sheetData>
    <row r="1" spans="1:1" ht="16.5" thickBot="1" x14ac:dyDescent="0.3">
      <c r="A1" s="11" t="s">
        <v>20</v>
      </c>
    </row>
    <row r="2" spans="1:1" ht="32.25" thickBot="1" x14ac:dyDescent="0.3">
      <c r="A2" s="12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 HW</vt:lpstr>
      <vt:lpstr>Print PAC via Planilha Variável</vt:lpstr>
      <vt:lpstr>Cadastros Ingram</vt:lpstr>
    </vt:vector>
  </TitlesOfParts>
  <Company>Ingram Micro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Tosta, Diogo</dc:creator>
  <cp:lastModifiedBy>Jucimar Malheiros</cp:lastModifiedBy>
  <cp:lastPrinted>2011-12-05T12:46:24Z</cp:lastPrinted>
  <dcterms:created xsi:type="dcterms:W3CDTF">2011-12-05T12:19:14Z</dcterms:created>
  <dcterms:modified xsi:type="dcterms:W3CDTF">2025-12-10T14:06:07Z</dcterms:modified>
</cp:coreProperties>
</file>